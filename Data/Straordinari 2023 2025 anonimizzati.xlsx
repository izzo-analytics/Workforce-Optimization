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pide\Desktop\Business Intelligence\Case Study Straordinari\"/>
    </mc:Choice>
  </mc:AlternateContent>
  <xr:revisionPtr revIDLastSave="0" documentId="8_{3233C188-C3DB-47F5-B95D-B160FF5F8E6B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2024 - Mensile Fer-Fest" sheetId="1" r:id="rId1"/>
    <sheet name="Confronto ore 2024_2025" sheetId="2" r:id="rId2"/>
    <sheet name="Grafico" sheetId="3" r:id="rId3"/>
    <sheet name="Dashboard_Finale" sheetId="4" r:id="rId4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56" i="3" l="1"/>
  <c r="N52" i="3"/>
  <c r="N48" i="3"/>
  <c r="E15" i="2"/>
  <c r="D15" i="2"/>
  <c r="G12" i="2" s="1"/>
  <c r="C15" i="2"/>
  <c r="E14" i="2"/>
  <c r="E13" i="2"/>
  <c r="E12" i="2"/>
  <c r="E11" i="2"/>
  <c r="E10" i="2"/>
  <c r="E9" i="2"/>
  <c r="G8" i="2"/>
  <c r="E8" i="2"/>
  <c r="E7" i="2"/>
  <c r="E6" i="2"/>
  <c r="E5" i="2"/>
  <c r="G4" i="2"/>
  <c r="E4" i="2"/>
  <c r="E3" i="2"/>
  <c r="AO53" i="1"/>
  <c r="AN53" i="1"/>
  <c r="AQ53" i="1" s="1"/>
  <c r="AA53" i="1"/>
  <c r="AB53" i="1" s="1"/>
  <c r="Z53" i="1"/>
  <c r="AO52" i="1"/>
  <c r="AQ52" i="1" s="1"/>
  <c r="AN52" i="1"/>
  <c r="AB52" i="1"/>
  <c r="AO51" i="1"/>
  <c r="AN51" i="1"/>
  <c r="AQ51" i="1" s="1"/>
  <c r="AG51" i="1"/>
  <c r="AF51" i="1"/>
  <c r="AA51" i="1"/>
  <c r="Z51" i="1"/>
  <c r="AB51" i="1" s="1"/>
  <c r="AN50" i="1"/>
  <c r="AP50" i="1" s="1"/>
  <c r="AG50" i="1"/>
  <c r="AO50" i="1" s="1"/>
  <c r="AQ50" i="1" s="1"/>
  <c r="AF50" i="1"/>
  <c r="AA50" i="1"/>
  <c r="Z50" i="1"/>
  <c r="AB50" i="1" s="1"/>
  <c r="AG49" i="1"/>
  <c r="AO49" i="1" s="1"/>
  <c r="AF49" i="1"/>
  <c r="AN49" i="1" s="1"/>
  <c r="AA49" i="1"/>
  <c r="AB49" i="1" s="1"/>
  <c r="Z49" i="1"/>
  <c r="AO48" i="1"/>
  <c r="AG48" i="1"/>
  <c r="AF48" i="1"/>
  <c r="AN48" i="1" s="1"/>
  <c r="AA48" i="1"/>
  <c r="Z48" i="1"/>
  <c r="AB48" i="1" s="1"/>
  <c r="AG47" i="1"/>
  <c r="AO47" i="1" s="1"/>
  <c r="AF47" i="1"/>
  <c r="AN47" i="1" s="1"/>
  <c r="AA47" i="1"/>
  <c r="Z47" i="1"/>
  <c r="AB47" i="1" s="1"/>
  <c r="AG46" i="1"/>
  <c r="AO46" i="1" s="1"/>
  <c r="AF46" i="1"/>
  <c r="AN46" i="1" s="1"/>
  <c r="AB46" i="1"/>
  <c r="AA46" i="1"/>
  <c r="Z46" i="1"/>
  <c r="AO45" i="1"/>
  <c r="AN45" i="1"/>
  <c r="AQ45" i="1" s="1"/>
  <c r="AG45" i="1"/>
  <c r="AF45" i="1"/>
  <c r="AA45" i="1"/>
  <c r="AB45" i="1" s="1"/>
  <c r="Z45" i="1"/>
  <c r="AN44" i="1"/>
  <c r="AG44" i="1"/>
  <c r="AO44" i="1" s="1"/>
  <c r="AF44" i="1"/>
  <c r="AA44" i="1"/>
  <c r="Z44" i="1"/>
  <c r="AB44" i="1" s="1"/>
  <c r="AO43" i="1"/>
  <c r="AG43" i="1"/>
  <c r="AF43" i="1"/>
  <c r="AN43" i="1" s="1"/>
  <c r="AP43" i="1" s="1"/>
  <c r="AB43" i="1"/>
  <c r="AA43" i="1"/>
  <c r="Z43" i="1"/>
  <c r="AO42" i="1"/>
  <c r="AN42" i="1"/>
  <c r="AQ42" i="1" s="1"/>
  <c r="AG42" i="1"/>
  <c r="AF42" i="1"/>
  <c r="AA42" i="1"/>
  <c r="Z42" i="1"/>
  <c r="AB42" i="1" s="1"/>
  <c r="AN41" i="1"/>
  <c r="AQ41" i="1" s="1"/>
  <c r="AG41" i="1"/>
  <c r="AO41" i="1" s="1"/>
  <c r="AF41" i="1"/>
  <c r="AA41" i="1"/>
  <c r="Z41" i="1"/>
  <c r="AB41" i="1" s="1"/>
  <c r="AG40" i="1"/>
  <c r="AO40" i="1" s="1"/>
  <c r="AF40" i="1"/>
  <c r="AN40" i="1" s="1"/>
  <c r="AA40" i="1"/>
  <c r="AB40" i="1" s="1"/>
  <c r="Z40" i="1"/>
  <c r="AO39" i="1"/>
  <c r="AG39" i="1"/>
  <c r="AF39" i="1"/>
  <c r="AN39" i="1" s="1"/>
  <c r="AA39" i="1"/>
  <c r="Z39" i="1"/>
  <c r="AB39" i="1" s="1"/>
  <c r="AG38" i="1"/>
  <c r="AO38" i="1" s="1"/>
  <c r="AF38" i="1"/>
  <c r="AN38" i="1" s="1"/>
  <c r="AA38" i="1"/>
  <c r="Z38" i="1"/>
  <c r="AB38" i="1" s="1"/>
  <c r="AG37" i="1"/>
  <c r="AO37" i="1" s="1"/>
  <c r="AF37" i="1"/>
  <c r="AN37" i="1" s="1"/>
  <c r="AB37" i="1"/>
  <c r="AA37" i="1"/>
  <c r="Z37" i="1"/>
  <c r="AN36" i="1"/>
  <c r="AG36" i="1"/>
  <c r="AO36" i="1" s="1"/>
  <c r="AF36" i="1"/>
  <c r="AA36" i="1"/>
  <c r="Z36" i="1"/>
  <c r="AB36" i="1" s="1"/>
  <c r="AG35" i="1"/>
  <c r="AO35" i="1" s="1"/>
  <c r="AF35" i="1"/>
  <c r="AN35" i="1" s="1"/>
  <c r="AA35" i="1"/>
  <c r="AB35" i="1" s="1"/>
  <c r="Z35" i="1"/>
  <c r="AO34" i="1"/>
  <c r="AG34" i="1"/>
  <c r="AF34" i="1"/>
  <c r="AN34" i="1" s="1"/>
  <c r="AB34" i="1"/>
  <c r="AA34" i="1"/>
  <c r="Z34" i="1"/>
  <c r="AO33" i="1"/>
  <c r="AN33" i="1"/>
  <c r="AQ33" i="1" s="1"/>
  <c r="AG33" i="1"/>
  <c r="AF33" i="1"/>
  <c r="AA33" i="1"/>
  <c r="Z33" i="1"/>
  <c r="AB33" i="1" s="1"/>
  <c r="AG32" i="1"/>
  <c r="AO32" i="1" s="1"/>
  <c r="AF32" i="1"/>
  <c r="AN32" i="1" s="1"/>
  <c r="AP32" i="1" s="1"/>
  <c r="AA32" i="1"/>
  <c r="Z32" i="1"/>
  <c r="AB32" i="1" s="1"/>
  <c r="AO31" i="1"/>
  <c r="AG31" i="1"/>
  <c r="AF31" i="1"/>
  <c r="AN31" i="1" s="1"/>
  <c r="AA31" i="1"/>
  <c r="Z31" i="1"/>
  <c r="AB31" i="1" s="1"/>
  <c r="AO30" i="1"/>
  <c r="AN30" i="1"/>
  <c r="AQ30" i="1" s="1"/>
  <c r="AG30" i="1"/>
  <c r="AF30" i="1"/>
  <c r="AA30" i="1"/>
  <c r="Z30" i="1"/>
  <c r="AB30" i="1" s="1"/>
  <c r="AG29" i="1"/>
  <c r="AO29" i="1" s="1"/>
  <c r="AF29" i="1"/>
  <c r="AN29" i="1" s="1"/>
  <c r="AB29" i="1"/>
  <c r="AA29" i="1"/>
  <c r="Z29" i="1"/>
  <c r="AG28" i="1"/>
  <c r="AO28" i="1" s="1"/>
  <c r="AF28" i="1"/>
  <c r="AN28" i="1" s="1"/>
  <c r="AA28" i="1"/>
  <c r="AB28" i="1" s="1"/>
  <c r="Z28" i="1"/>
  <c r="AG27" i="1"/>
  <c r="AO27" i="1" s="1"/>
  <c r="AF27" i="1"/>
  <c r="AN27" i="1" s="1"/>
  <c r="AP27" i="1" s="1"/>
  <c r="AA27" i="1"/>
  <c r="Z27" i="1"/>
  <c r="AB27" i="1" s="1"/>
  <c r="AG26" i="1"/>
  <c r="AO26" i="1" s="1"/>
  <c r="AF26" i="1"/>
  <c r="AN26" i="1" s="1"/>
  <c r="AP26" i="1" s="1"/>
  <c r="AA26" i="1"/>
  <c r="AB26" i="1" s="1"/>
  <c r="Z26" i="1"/>
  <c r="AN25" i="1"/>
  <c r="AG25" i="1"/>
  <c r="AO25" i="1" s="1"/>
  <c r="AF25" i="1"/>
  <c r="AA25" i="1"/>
  <c r="Z25" i="1"/>
  <c r="AB25" i="1" s="1"/>
  <c r="AG24" i="1"/>
  <c r="AO24" i="1" s="1"/>
  <c r="AF24" i="1"/>
  <c r="AN24" i="1" s="1"/>
  <c r="AA24" i="1"/>
  <c r="Z24" i="1"/>
  <c r="AB24" i="1" s="1"/>
  <c r="AO23" i="1"/>
  <c r="AN23" i="1"/>
  <c r="AP23" i="1" s="1"/>
  <c r="AG23" i="1"/>
  <c r="AF23" i="1"/>
  <c r="AA23" i="1"/>
  <c r="AB23" i="1" s="1"/>
  <c r="Z23" i="1"/>
  <c r="AN22" i="1"/>
  <c r="AG22" i="1"/>
  <c r="AO22" i="1" s="1"/>
  <c r="AF22" i="1"/>
  <c r="AA22" i="1"/>
  <c r="Z22" i="1"/>
  <c r="AB22" i="1" s="1"/>
  <c r="AO21" i="1"/>
  <c r="AG21" i="1"/>
  <c r="AF21" i="1"/>
  <c r="AN21" i="1" s="1"/>
  <c r="AP21" i="1" s="1"/>
  <c r="AB21" i="1"/>
  <c r="AA21" i="1"/>
  <c r="Z21" i="1"/>
  <c r="AN20" i="1"/>
  <c r="AG20" i="1"/>
  <c r="AO20" i="1" s="1"/>
  <c r="AF20" i="1"/>
  <c r="AA20" i="1"/>
  <c r="Z20" i="1"/>
  <c r="AB20" i="1" s="1"/>
  <c r="AO19" i="1"/>
  <c r="AG19" i="1"/>
  <c r="AF19" i="1"/>
  <c r="AN19" i="1" s="1"/>
  <c r="AP19" i="1" s="1"/>
  <c r="AB19" i="1"/>
  <c r="AA19" i="1"/>
  <c r="Z19" i="1"/>
  <c r="AN18" i="1"/>
  <c r="AG18" i="1"/>
  <c r="AO18" i="1" s="1"/>
  <c r="AF18" i="1"/>
  <c r="AA18" i="1"/>
  <c r="Z18" i="1"/>
  <c r="AB18" i="1" s="1"/>
  <c r="AG17" i="1"/>
  <c r="AO17" i="1" s="1"/>
  <c r="AF17" i="1"/>
  <c r="AN17" i="1" s="1"/>
  <c r="AA17" i="1"/>
  <c r="Z17" i="1"/>
  <c r="AB17" i="1" s="1"/>
  <c r="AO16" i="1"/>
  <c r="AG16" i="1"/>
  <c r="AF16" i="1"/>
  <c r="AN16" i="1" s="1"/>
  <c r="AA16" i="1"/>
  <c r="Z16" i="1"/>
  <c r="AB16" i="1" s="1"/>
  <c r="AO15" i="1"/>
  <c r="AN15" i="1"/>
  <c r="AQ15" i="1" s="1"/>
  <c r="AG15" i="1"/>
  <c r="AF15" i="1"/>
  <c r="AA15" i="1"/>
  <c r="Z15" i="1"/>
  <c r="AB15" i="1" s="1"/>
  <c r="AG14" i="1"/>
  <c r="AO14" i="1" s="1"/>
  <c r="AF14" i="1"/>
  <c r="AN14" i="1" s="1"/>
  <c r="AB14" i="1"/>
  <c r="AA14" i="1"/>
  <c r="Z14" i="1"/>
  <c r="AG13" i="1"/>
  <c r="AO13" i="1" s="1"/>
  <c r="AF13" i="1"/>
  <c r="AN13" i="1" s="1"/>
  <c r="AA13" i="1"/>
  <c r="AB13" i="1" s="1"/>
  <c r="Z13" i="1"/>
  <c r="AG12" i="1"/>
  <c r="AO12" i="1" s="1"/>
  <c r="AF12" i="1"/>
  <c r="AN12" i="1" s="1"/>
  <c r="AP12" i="1" s="1"/>
  <c r="AA12" i="1"/>
  <c r="Z12" i="1"/>
  <c r="AB12" i="1" s="1"/>
  <c r="AG11" i="1"/>
  <c r="AO11" i="1" s="1"/>
  <c r="AF11" i="1"/>
  <c r="AN11" i="1" s="1"/>
  <c r="AB11" i="1"/>
  <c r="AA11" i="1"/>
  <c r="Z11" i="1"/>
  <c r="AN10" i="1"/>
  <c r="AG10" i="1"/>
  <c r="AO10" i="1" s="1"/>
  <c r="AF10" i="1"/>
  <c r="AA10" i="1"/>
  <c r="Z10" i="1"/>
  <c r="AB10" i="1" s="1"/>
  <c r="AG9" i="1"/>
  <c r="AO9" i="1" s="1"/>
  <c r="AF9" i="1"/>
  <c r="AN9" i="1" s="1"/>
  <c r="AA9" i="1"/>
  <c r="AB9" i="1" s="1"/>
  <c r="Z9" i="1"/>
  <c r="AO8" i="1"/>
  <c r="AN8" i="1"/>
  <c r="AP8" i="1" s="1"/>
  <c r="AG8" i="1"/>
  <c r="AF8" i="1"/>
  <c r="AA8" i="1"/>
  <c r="AB8" i="1" s="1"/>
  <c r="Z8" i="1"/>
  <c r="AN7" i="1"/>
  <c r="AG7" i="1"/>
  <c r="AO7" i="1" s="1"/>
  <c r="AF7" i="1"/>
  <c r="AA7" i="1"/>
  <c r="Z7" i="1"/>
  <c r="AB7" i="1" s="1"/>
  <c r="AG6" i="1"/>
  <c r="AO6" i="1" s="1"/>
  <c r="AF6" i="1"/>
  <c r="AN6" i="1" s="1"/>
  <c r="AA6" i="1"/>
  <c r="Z6" i="1"/>
  <c r="AB6" i="1" s="1"/>
  <c r="AO5" i="1"/>
  <c r="AG5" i="1"/>
  <c r="AF5" i="1"/>
  <c r="AN5" i="1" s="1"/>
  <c r="AA5" i="1"/>
  <c r="Z5" i="1"/>
  <c r="AB5" i="1" s="1"/>
  <c r="AO4" i="1"/>
  <c r="AN4" i="1"/>
  <c r="AQ4" i="1" s="1"/>
  <c r="AG4" i="1"/>
  <c r="AF4" i="1"/>
  <c r="AA4" i="1"/>
  <c r="Z4" i="1"/>
  <c r="AB4" i="1" s="1"/>
  <c r="AQ38" i="1" l="1"/>
  <c r="AP38" i="1"/>
  <c r="AQ44" i="1"/>
  <c r="AQ9" i="1"/>
  <c r="AP9" i="1"/>
  <c r="AQ35" i="1"/>
  <c r="AP35" i="1"/>
  <c r="AQ48" i="1"/>
  <c r="AP48" i="1"/>
  <c r="AP6" i="1"/>
  <c r="AQ6" i="1"/>
  <c r="AQ16" i="1"/>
  <c r="AP16" i="1"/>
  <c r="AQ25" i="1"/>
  <c r="AP29" i="1"/>
  <c r="AQ29" i="1"/>
  <c r="AQ13" i="1"/>
  <c r="AP13" i="1"/>
  <c r="AQ22" i="1"/>
  <c r="AQ39" i="1"/>
  <c r="AP39" i="1"/>
  <c r="AB54" i="1"/>
  <c r="AQ49" i="1"/>
  <c r="AP49" i="1"/>
  <c r="AP10" i="1"/>
  <c r="AQ17" i="1"/>
  <c r="AP17" i="1"/>
  <c r="AP36" i="1"/>
  <c r="AQ7" i="1"/>
  <c r="AP14" i="1"/>
  <c r="AQ14" i="1"/>
  <c r="AP20" i="1"/>
  <c r="AQ40" i="1"/>
  <c r="AP40" i="1"/>
  <c r="AP46" i="1"/>
  <c r="AQ46" i="1"/>
  <c r="AP11" i="1"/>
  <c r="AQ11" i="1"/>
  <c r="AP37" i="1"/>
  <c r="AQ37" i="1"/>
  <c r="AP34" i="1"/>
  <c r="AQ34" i="1"/>
  <c r="AQ24" i="1"/>
  <c r="AP24" i="1"/>
  <c r="AQ31" i="1"/>
  <c r="AP31" i="1"/>
  <c r="AQ5" i="1"/>
  <c r="AP5" i="1"/>
  <c r="AP18" i="1"/>
  <c r="AP28" i="1"/>
  <c r="AQ28" i="1"/>
  <c r="AQ47" i="1"/>
  <c r="AP47" i="1"/>
  <c r="AP52" i="1"/>
  <c r="AP4" i="1"/>
  <c r="AP15" i="1"/>
  <c r="AP30" i="1"/>
  <c r="AP41" i="1"/>
  <c r="AP45" i="1"/>
  <c r="AP25" i="1"/>
  <c r="AP53" i="1"/>
  <c r="AP33" i="1"/>
  <c r="AP42" i="1"/>
  <c r="AP51" i="1"/>
  <c r="AP7" i="1"/>
  <c r="AP22" i="1"/>
  <c r="AP44" i="1"/>
  <c r="AP54" i="1" l="1"/>
</calcChain>
</file>

<file path=xl/sharedStrings.xml><?xml version="1.0" encoding="utf-8"?>
<sst xmlns="http://schemas.openxmlformats.org/spreadsheetml/2006/main" count="136" uniqueCount="63">
  <si>
    <t>PROPOSTE DI PAGAMENTO</t>
  </si>
  <si>
    <t>PAGAMENTI EFFETTUATI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</si>
  <si>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</si>
  <si>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</si>
  <si>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</si>
  <si>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</si>
  <si>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</si>
  <si>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</si>
  <si>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</si>
  <si>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</si>
  <si>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</si>
  <si>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</si>
  <si>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</si>
  <si>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</si>
  <si>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 RICHIESTO ANNO</t>
  </si>
  <si>
    <t>PAGATO  GEN-APR</t>
  </si>
  <si>
    <t>NON PAGATO GEN-APR</t>
  </si>
  <si>
    <t>PAGATO MAG-LUG</t>
  </si>
  <si>
    <t>PAGATO AGO-SET</t>
  </si>
  <si>
    <t>PAGATO OTT-DIC</t>
  </si>
  <si>
    <t>TOTALE PAGATO ANNO</t>
  </si>
  <si>
    <t>PERCENTUALE PAGAMENTO</t>
  </si>
  <si>
    <t>FER DIU</t>
  </si>
  <si>
    <t>FEST DIU</t>
  </si>
  <si>
    <t>TOTALE</t>
  </si>
  <si>
    <t>OMISSIS</t>
  </si>
  <si>
    <t>Id Dipendente</t>
  </si>
  <si>
    <t>Eccedenze al 31/12/2024</t>
  </si>
  <si>
    <t>Eccedenze al 31/12/2025</t>
  </si>
  <si>
    <t>Differenza (-)</t>
  </si>
  <si>
    <t>ID_DIP_001</t>
  </si>
  <si>
    <t>MEDIA ECCEDENZE ORARIE AL 31/12/2024</t>
  </si>
  <si>
    <t>ID_DIP_002</t>
  </si>
  <si>
    <t>ID_DIP_003</t>
  </si>
  <si>
    <t>ID_DIP_004</t>
  </si>
  <si>
    <t>ID_DIP_005</t>
  </si>
  <si>
    <t>MEDIA ECCEDENZE ORARIE AL 31/12/2025</t>
  </si>
  <si>
    <t>ID_DIP_006</t>
  </si>
  <si>
    <t>ID_DIP_007</t>
  </si>
  <si>
    <t>ID_DIP_008</t>
  </si>
  <si>
    <t>ID_DIP_009</t>
  </si>
  <si>
    <t>DIFFERENZA MEDIA</t>
  </si>
  <si>
    <t>ID_DIP_010</t>
  </si>
  <si>
    <t>ID_DIP_011</t>
  </si>
  <si>
    <t>ID_DIP_012</t>
  </si>
  <si>
    <t>Calcolo del Risparmio (ROI Analysis)</t>
  </si>
  <si>
    <t>Voce</t>
  </si>
  <si>
    <t>Dati 2024</t>
  </si>
  <si>
    <t>Dati 2025</t>
  </si>
  <si>
    <t>Differenza (Risparmio)</t>
  </si>
  <si>
    <t>Monte Ore Straordinari</t>
  </si>
  <si>
    <t>1.460 ore</t>
  </si>
  <si>
    <t>1.108 ore</t>
  </si>
  <si>
    <t>-352 ore</t>
  </si>
  <si>
    <t>Costo Totale (~24€/h)</t>
  </si>
  <si>
    <t>Analisi dell'Investimento</t>
  </si>
  <si>
    <r>
      <rPr>
        <b/>
        <sz val="14"/>
        <color theme="1"/>
        <rFont val="Arial"/>
        <family val="2"/>
      </rPr>
      <t>Costo Implementazione:</t>
    </r>
    <r>
      <rPr>
        <sz val="11"/>
        <color rgb="FF000000"/>
        <rFont val="Calibri"/>
        <family val="2"/>
      </rPr>
      <t xml:space="preserve"> </t>
    </r>
    <r>
      <rPr>
        <sz val="14"/>
        <color rgb="FF000000"/>
        <rFont val="Arial"/>
        <family val="2"/>
      </rPr>
      <t>6.000 €</t>
    </r>
  </si>
  <si>
    <r>
      <rPr>
        <b/>
        <sz val="14"/>
        <color theme="1"/>
        <rFont val="Arial"/>
        <family val="2"/>
      </rPr>
      <t>Risparmio Generato (1° anno):</t>
    </r>
    <r>
      <rPr>
        <sz val="11"/>
        <color rgb="FF000000"/>
        <rFont val="Calibri"/>
        <family val="2"/>
      </rPr>
      <t xml:space="preserve"> </t>
    </r>
    <r>
      <rPr>
        <sz val="14"/>
        <color rgb="FF000000"/>
        <rFont val="Arial"/>
        <family val="2"/>
      </rPr>
      <t>8.448 €</t>
    </r>
  </si>
  <si>
    <r>
      <rPr>
        <b/>
        <sz val="14"/>
        <color theme="1"/>
        <rFont val="Arial"/>
        <family val="2"/>
      </rPr>
      <t>ROI (Ritorno sull'Investimento):</t>
    </r>
    <r>
      <rPr>
        <sz val="11"/>
        <color rgb="FF000000"/>
        <rFont val="Calibri"/>
        <family val="2"/>
      </rPr>
      <t xml:space="preserve"> </t>
    </r>
    <r>
      <rPr>
        <b/>
        <sz val="18"/>
        <color rgb="FF00B050"/>
        <rFont val="Arial"/>
        <family val="2"/>
      </rPr>
      <t>+41%</t>
    </r>
    <r>
      <rPr>
        <sz val="18"/>
        <color rgb="FF000000"/>
        <rFont val="Arial"/>
        <family val="2"/>
      </rPr>
      <t xml:space="preserve">  </t>
    </r>
  </si>
  <si>
    <t>CONFRONTO PAGAMENTI MENSILI 2023/2025</t>
  </si>
  <si>
    <t>TOTALE 2025</t>
  </si>
  <si>
    <t>TOTALE 2024</t>
  </si>
  <si>
    <t>TOTALE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</si>
</sst>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"/>
    <numFmt numFmtId="165" formatCode="#,##0&quot; €&quot;;[Red]\-#,##0&quot; €&quot;"/>
  </numFmts>
  <fonts count="19" x14ac:knownFonts="1"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sz val="11"/>
      <color rgb="FF000000"/>
      <name val="Calibri"/>
      <family val="2"/>
    </font>
    <font>
      <sz val="14"/>
      <color rgb="FF000000"/>
      <name val="Arial"/>
      <family val="2"/>
    </font>
    <font>
      <b/>
      <sz val="18"/>
      <color rgb="FF00B050"/>
      <name val="Arial"/>
      <family val="2"/>
    </font>
    <font>
      <sz val="18"/>
      <color rgb="FF000000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89013336588644"/>
        <bgColor rgb="FFF2F2F2"/>
      </patternFill>
    </fill>
    <fill>
      <patternFill patternType="solid">
        <fgColor theme="9" tint="0.79989013336588644"/>
        <bgColor rgb="FFDEE6EF"/>
      </patternFill>
    </fill>
    <fill>
      <patternFill patternType="solid">
        <fgColor rgb="FFDEE6EF"/>
        <bgColor rgb="FFCEE1F2"/>
      </patternFill>
    </fill>
  </fills>
  <borders count="5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8" fillId="0" borderId="0" applyBorder="0" applyProtection="0"/>
  </cellStyleXfs>
  <cellXfs count="104">
    <xf numFmtId="0" fontId="0" fillId="0" borderId="0" xfId="0"/>
    <xf numFmtId="0" fontId="16" fillId="3" borderId="49" xfId="0" applyFont="1" applyFill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6" fillId="0" borderId="42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/>
    <xf numFmtId="0" fontId="0" fillId="0" borderId="8" xfId="0" applyBorder="1"/>
    <xf numFmtId="0" fontId="0" fillId="2" borderId="9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0" fontId="0" fillId="3" borderId="13" xfId="0" applyFont="1" applyFill="1" applyBorder="1" applyAlignment="1">
      <alignment horizontal="center" vertical="center"/>
    </xf>
    <xf numFmtId="0" fontId="0" fillId="3" borderId="14" xfId="0" applyFont="1" applyFill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9" fontId="0" fillId="0" borderId="3" xfId="1" applyFont="1" applyBorder="1" applyAlignment="1" applyProtection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9" fontId="0" fillId="0" borderId="24" xfId="1" applyFont="1" applyBorder="1" applyAlignment="1" applyProtection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9" fontId="0" fillId="0" borderId="38" xfId="1" applyFont="1" applyBorder="1" applyAlignment="1" applyProtection="1">
      <alignment horizontal="center" vertical="center"/>
    </xf>
    <xf numFmtId="0" fontId="4" fillId="0" borderId="0" xfId="0" applyFont="1" applyBorder="1" applyAlignment="1">
      <alignment horizontal="left"/>
    </xf>
    <xf numFmtId="0" fontId="0" fillId="4" borderId="32" xfId="0" applyFont="1" applyFill="1" applyBorder="1" applyAlignment="1">
      <alignment horizontal="center" vertical="center" wrapText="1"/>
    </xf>
    <xf numFmtId="17" fontId="0" fillId="4" borderId="32" xfId="0" applyNumberFormat="1" applyFont="1" applyFill="1" applyBorder="1" applyAlignment="1">
      <alignment horizontal="center" vertical="center" wrapText="1"/>
    </xf>
    <xf numFmtId="0" fontId="0" fillId="0" borderId="32" xfId="0" applyFont="1" applyBorder="1"/>
    <xf numFmtId="46" fontId="0" fillId="0" borderId="32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6" fontId="5" fillId="0" borderId="41" xfId="0" applyNumberFormat="1" applyFont="1" applyBorder="1" applyAlignment="1">
      <alignment horizontal="center" vertical="center"/>
    </xf>
    <xf numFmtId="0" fontId="4" fillId="0" borderId="0" xfId="0" applyFont="1"/>
    <xf numFmtId="9" fontId="5" fillId="0" borderId="41" xfId="1" applyFont="1" applyBorder="1" applyAlignment="1" applyProtection="1">
      <alignment horizontal="center" vertical="center"/>
    </xf>
    <xf numFmtId="0" fontId="5" fillId="0" borderId="32" xfId="0" applyFont="1" applyBorder="1" applyAlignment="1">
      <alignment horizontal="center" vertical="center"/>
    </xf>
    <xf numFmtId="46" fontId="5" fillId="0" borderId="32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6" fontId="5" fillId="0" borderId="0" xfId="0" applyNumberFormat="1" applyFont="1" applyBorder="1" applyAlignment="1">
      <alignment horizontal="center" vertical="center"/>
    </xf>
    <xf numFmtId="9" fontId="0" fillId="0" borderId="0" xfId="1" applyFont="1" applyBorder="1" applyAlignment="1" applyProtection="1"/>
    <xf numFmtId="0" fontId="6" fillId="0" borderId="42" xfId="0" applyFont="1" applyBorder="1" applyAlignment="1">
      <alignment horizontal="center" vertical="center" wrapText="1" readingOrder="1"/>
    </xf>
    <xf numFmtId="0" fontId="7" fillId="0" borderId="42" xfId="0" applyFont="1" applyBorder="1" applyAlignment="1">
      <alignment horizontal="center" vertical="center" wrapText="1" readingOrder="1"/>
    </xf>
    <xf numFmtId="0" fontId="8" fillId="0" borderId="42" xfId="0" applyFont="1" applyBorder="1" applyAlignment="1">
      <alignment horizontal="center" vertical="center" wrapText="1" readingOrder="1"/>
    </xf>
    <xf numFmtId="165" fontId="8" fillId="0" borderId="42" xfId="0" applyNumberFormat="1" applyFont="1" applyBorder="1" applyAlignment="1">
      <alignment horizontal="center" vertical="center" wrapText="1" readingOrder="1"/>
    </xf>
    <xf numFmtId="165" fontId="9" fillId="0" borderId="42" xfId="0" applyNumberFormat="1" applyFont="1" applyBorder="1" applyAlignment="1">
      <alignment horizontal="center" vertical="center" wrapText="1" readingOrder="1"/>
    </xf>
    <xf numFmtId="0" fontId="6" fillId="0" borderId="44" xfId="0" applyFont="1" applyBorder="1" applyAlignment="1">
      <alignment horizontal="center" vertical="center" wrapText="1" readingOrder="1"/>
    </xf>
    <xf numFmtId="0" fontId="6" fillId="0" borderId="0" xfId="0" applyFont="1" applyBorder="1" applyAlignment="1">
      <alignment horizontal="center" vertical="center" wrapText="1" readingOrder="1"/>
    </xf>
    <xf numFmtId="0" fontId="6" fillId="0" borderId="45" xfId="0" applyFont="1" applyBorder="1" applyAlignment="1">
      <alignment horizontal="center" vertical="center" wrapText="1" readingOrder="1"/>
    </xf>
    <xf numFmtId="0" fontId="6" fillId="0" borderId="46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47" xfId="0" applyFont="1" applyBorder="1" applyAlignment="1">
      <alignment horizontal="center" vertical="center" wrapText="1" readingOrder="1"/>
    </xf>
    <xf numFmtId="0" fontId="0" fillId="0" borderId="0" xfId="0" applyBorder="1"/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0" fontId="17" fillId="3" borderId="32" xfId="0" applyFont="1" applyFill="1" applyBorder="1" applyAlignment="1">
      <alignment horizontal="center" vertical="center"/>
    </xf>
    <xf numFmtId="0" fontId="17" fillId="3" borderId="48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3" borderId="48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3">
    <dxf>
      <font>
        <sz val="11"/>
        <color rgb="FF9C0006"/>
        <name val="Calibri"/>
        <family val="2"/>
      </font>
      <fill>
        <patternFill>
          <bgColor rgb="FFFFC7CE"/>
        </patternFill>
      </fill>
    </dxf>
    <dxf>
      <font>
        <sz val="11"/>
        <color rgb="FF70AD47"/>
        <name val="Calibri"/>
        <family val="2"/>
      </font>
    </dxf>
    <dxf>
      <font>
        <sz val="11"/>
        <color rgb="FF9C0006"/>
        <name val="Calibri"/>
        <family val="2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B050"/>
      <rgbColor rgb="FFC0C0C0"/>
      <rgbColor rgb="FF8B8B8B"/>
      <rgbColor rgb="FF9999FF"/>
      <rgbColor rgb="FF993366"/>
      <rgbColor rgb="FFFFF2CC"/>
      <rgbColor rgb="FFDEE6EF"/>
      <rgbColor rgb="FF660066"/>
      <rgbColor rgb="FFFF8080"/>
      <rgbColor rgb="FF0066CC"/>
      <rgbColor rgb="FFCE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AFD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2A43D"/>
      <rgbColor rgb="FF003300"/>
      <rgbColor rgb="FF1F1F1F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it-IT" sz="2800" b="1" u="none" strike="noStrike">
                <a:solidFill>
                  <a:srgbClr val="404040"/>
                </a:solidFill>
                <a:uFillTx/>
                <a:latin typeface="Microsoft Sans Serif"/>
                <a:ea typeface="Microsoft Sans Serif"/>
              </a:rPr>
              <a:t>ANALISI IMPATTO INTRODUZIONE SISTEMA OGGETTIVO DI RILEVAZIONE PRESENZE 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lang="it-IT" sz="2800" b="1" u="none" strike="noStrike">
                <a:solidFill>
                  <a:srgbClr val="000000"/>
                </a:solidFill>
                <a:uFillTx/>
                <a:latin typeface="Microsoft Sans Serif"/>
                <a:ea typeface="Microsoft Sans Serif"/>
              </a:rPr>
              <a:t>(BADGE ELETTRONICO) - GESTIONE +70 DIPENDENTI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lang="it-IT" sz="2800" b="1" u="none" strike="noStrike">
                <a:solidFill>
                  <a:srgbClr val="000000"/>
                </a:solidFill>
                <a:uFillTx/>
                <a:latin typeface="Microsoft Sans Serif"/>
                <a:ea typeface="Microsoft Sans Serif"/>
              </a:rPr>
              <a:t>COMPARAZIONE CON GLI ANNI PRECEDENTI (2023 - 2024 - 2025)</a:t>
            </a:r>
          </a:p>
        </c:rich>
      </c:tx>
      <c:layout>
        <c:manualLayout>
          <c:xMode val="edge"/>
          <c:yMode val="edge"/>
          <c:x val="0.17553370185993999"/>
          <c:y val="2.2887457370216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841502679629076E-3"/>
          <c:y val="0.1522200096648948"/>
          <c:w val="0.9878499129403211"/>
          <c:h val="0.74716093716152043"/>
        </c:manualLayout>
      </c:layout>
      <c:lineChart>
        <c:grouping val="standard"/>
        <c:varyColors val="0"/>
        <c:ser>
          <c:idx val="0"/>
          <c:order val="0"/>
          <c:tx>
            <c:strRef>
              <c:f>Grafico!$B$54</c:f>
              <c:strCache>
                <c:ptCount val="1"/>
                <c:pt idx="0">
                  <c:v>2023</c:v>
                </c:pt>
              </c:strCache>
            </c:strRef>
          </c:tx>
          <c:spPr>
            <a:ln w="31680" cap="rnd">
              <a:solidFill>
                <a:srgbClr val="ED7D31"/>
              </a:solidFill>
              <a:round/>
            </a:ln>
          </c:spPr>
          <c:marker>
            <c:symbol val="circle"/>
            <c:size val="2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1" u="none" strike="noStrike">
                    <a:solidFill>
                      <a:srgbClr val="FFFFFF"/>
                    </a:solidFill>
                    <a:uFillTx/>
                    <a:latin typeface="Calibri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6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Grafico!$B$47:$M$47</c:f>
              <c:strCache>
                <c:ptCount val="12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  <c:pt idx="6">
                  <c:v>LUGLIO</c:v>
                </c:pt>
                <c:pt idx="7">
                  <c:v>AGOSTO</c:v>
                </c:pt>
                <c:pt idx="8">
                  <c:v>SETTEMBRE</c:v>
                </c:pt>
                <c:pt idx="9">
                  <c:v>OTTOBRE</c:v>
                </c:pt>
                <c:pt idx="10">
                  <c:v>NOVEMBRE</c:v>
                </c:pt>
                <c:pt idx="11">
                  <c:v>DICEMBRE</c:v>
                </c:pt>
              </c:strCache>
            </c:strRef>
          </c:cat>
          <c:val>
            <c:numRef>
              <c:f>Grafico!$B$56:$M$56</c:f>
              <c:numCache>
                <c:formatCode>General</c:formatCode>
                <c:ptCount val="12"/>
                <c:pt idx="0">
                  <c:v>29</c:v>
                </c:pt>
                <c:pt idx="1">
                  <c:v>37</c:v>
                </c:pt>
                <c:pt idx="2">
                  <c:v>22</c:v>
                </c:pt>
                <c:pt idx="3">
                  <c:v>77</c:v>
                </c:pt>
                <c:pt idx="4">
                  <c:v>135</c:v>
                </c:pt>
                <c:pt idx="5">
                  <c:v>105</c:v>
                </c:pt>
                <c:pt idx="6">
                  <c:v>317</c:v>
                </c:pt>
                <c:pt idx="7">
                  <c:v>453</c:v>
                </c:pt>
                <c:pt idx="8">
                  <c:v>112</c:v>
                </c:pt>
                <c:pt idx="9">
                  <c:v>58</c:v>
                </c:pt>
                <c:pt idx="10">
                  <c:v>59</c:v>
                </c:pt>
                <c:pt idx="1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D3-45B4-9252-86D8A421260F}"/>
            </c:ext>
          </c:extLst>
        </c:ser>
        <c:ser>
          <c:idx val="1"/>
          <c:order val="1"/>
          <c:tx>
            <c:strRef>
              <c:f>Grafico!$B$50</c:f>
              <c:strCache>
                <c:ptCount val="1"/>
                <c:pt idx="0">
                  <c:v>2024</c:v>
                </c:pt>
              </c:strCache>
            </c:strRef>
          </c:tx>
          <c:spPr>
            <a:ln w="31680" cap="rnd">
              <a:solidFill>
                <a:srgbClr val="4472C4"/>
              </a:solidFill>
              <a:round/>
            </a:ln>
          </c:spPr>
          <c:marker>
            <c:symbol val="circle"/>
            <c:size val="2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1" u="none" strike="noStrike">
                    <a:solidFill>
                      <a:srgbClr val="FFFFFF"/>
                    </a:solidFill>
                    <a:uFillTx/>
                    <a:latin typeface="Calibri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6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Grafico!$B$47:$M$47</c:f>
              <c:strCache>
                <c:ptCount val="12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  <c:pt idx="6">
                  <c:v>LUGLIO</c:v>
                </c:pt>
                <c:pt idx="7">
                  <c:v>AGOSTO</c:v>
                </c:pt>
                <c:pt idx="8">
                  <c:v>SETTEMBRE</c:v>
                </c:pt>
                <c:pt idx="9">
                  <c:v>OTTOBRE</c:v>
                </c:pt>
                <c:pt idx="10">
                  <c:v>NOVEMBRE</c:v>
                </c:pt>
                <c:pt idx="11">
                  <c:v>DICEMBRE</c:v>
                </c:pt>
              </c:strCache>
            </c:strRef>
          </c:cat>
          <c:val>
            <c:numRef>
              <c:f>Grafico!$B$52:$M$52</c:f>
              <c:numCache>
                <c:formatCode>General</c:formatCode>
                <c:ptCount val="12"/>
                <c:pt idx="0">
                  <c:v>53</c:v>
                </c:pt>
                <c:pt idx="1">
                  <c:v>51</c:v>
                </c:pt>
                <c:pt idx="2">
                  <c:v>74</c:v>
                </c:pt>
                <c:pt idx="3">
                  <c:v>144</c:v>
                </c:pt>
                <c:pt idx="4">
                  <c:v>120</c:v>
                </c:pt>
                <c:pt idx="5">
                  <c:v>308</c:v>
                </c:pt>
                <c:pt idx="6">
                  <c:v>290</c:v>
                </c:pt>
                <c:pt idx="7">
                  <c:v>389</c:v>
                </c:pt>
                <c:pt idx="8">
                  <c:v>81</c:v>
                </c:pt>
                <c:pt idx="9">
                  <c:v>104</c:v>
                </c:pt>
                <c:pt idx="10">
                  <c:v>33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D3-45B4-9252-86D8A421260F}"/>
            </c:ext>
          </c:extLst>
        </c:ser>
        <c:ser>
          <c:idx val="2"/>
          <c:order val="2"/>
          <c:tx>
            <c:strRef>
              <c:f>Grafico!$B$46</c:f>
              <c:strCache>
                <c:ptCount val="1"/>
                <c:pt idx="0">
                  <c:v>2025</c:v>
                </c:pt>
              </c:strCache>
            </c:strRef>
          </c:tx>
          <c:spPr>
            <a:ln w="31680" cap="rnd">
              <a:solidFill>
                <a:srgbClr val="FFFF00"/>
              </a:solidFill>
              <a:round/>
            </a:ln>
          </c:spPr>
          <c:marker>
            <c:symbol val="circle"/>
            <c:size val="25"/>
            <c:spPr>
              <a:solidFill>
                <a:srgbClr val="FFF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1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6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Grafico!$B$47:$M$47</c:f>
              <c:strCache>
                <c:ptCount val="12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  <c:pt idx="6">
                  <c:v>LUGLIO</c:v>
                </c:pt>
                <c:pt idx="7">
                  <c:v>AGOSTO</c:v>
                </c:pt>
                <c:pt idx="8">
                  <c:v>SETTEMBRE</c:v>
                </c:pt>
                <c:pt idx="9">
                  <c:v>OTTOBRE</c:v>
                </c:pt>
                <c:pt idx="10">
                  <c:v>NOVEMBRE</c:v>
                </c:pt>
                <c:pt idx="11">
                  <c:v>DICEMBRE</c:v>
                </c:pt>
              </c:strCache>
            </c:strRef>
          </c:cat>
          <c:val>
            <c:numRef>
              <c:f>Grafico!$B$48:$M$48</c:f>
              <c:numCache>
                <c:formatCode>General</c:formatCode>
                <c:ptCount val="12"/>
                <c:pt idx="0">
                  <c:v>12</c:v>
                </c:pt>
                <c:pt idx="1">
                  <c:v>17</c:v>
                </c:pt>
                <c:pt idx="2">
                  <c:v>36</c:v>
                </c:pt>
                <c:pt idx="3">
                  <c:v>64</c:v>
                </c:pt>
                <c:pt idx="4">
                  <c:v>143</c:v>
                </c:pt>
                <c:pt idx="5">
                  <c:v>250</c:v>
                </c:pt>
                <c:pt idx="6">
                  <c:v>213</c:v>
                </c:pt>
                <c:pt idx="7">
                  <c:v>199</c:v>
                </c:pt>
                <c:pt idx="8">
                  <c:v>31</c:v>
                </c:pt>
                <c:pt idx="9">
                  <c:v>70</c:v>
                </c:pt>
                <c:pt idx="10">
                  <c:v>37</c:v>
                </c:pt>
                <c:pt idx="1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D3-45B4-9252-86D8A4212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2502889"/>
        <c:axId val="59111252"/>
      </c:lineChart>
      <c:catAx>
        <c:axId val="225028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sz="1800" b="0" u="none" strike="noStrike">
                <a:solidFill>
                  <a:srgbClr val="404040"/>
                </a:solidFill>
                <a:uFillTx/>
                <a:latin typeface="Calibri"/>
              </a:defRPr>
            </a:pPr>
            <a:endParaRPr lang="it-IT"/>
          </a:p>
        </c:txPr>
        <c:crossAx val="59111252"/>
        <c:crosses val="autoZero"/>
        <c:auto val="1"/>
        <c:lblAlgn val="ctr"/>
        <c:lblOffset val="100"/>
        <c:noMultiLvlLbl val="0"/>
      </c:catAx>
      <c:valAx>
        <c:axId val="591112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5028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solidFill>
          <a:srgbClr val="F2F2F2">
            <a:alpha val="39000"/>
          </a:srgbClr>
        </a:solidFill>
        <a:ln w="0">
          <a:noFill/>
        </a:ln>
      </c:spPr>
      <c:txPr>
        <a:bodyPr/>
        <a:lstStyle/>
        <a:p>
          <a:pPr>
            <a:defRPr sz="2000" b="0" u="none" strike="noStrike">
              <a:solidFill>
                <a:srgbClr val="404040"/>
              </a:solidFill>
              <a:uFillTx/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gradFill>
      <a:gsLst>
        <a:gs pos="0">
          <a:srgbClr val="F7FAFD"/>
        </a:gs>
        <a:gs pos="74000">
          <a:srgbClr val="B5D2EC"/>
        </a:gs>
        <a:gs pos="83000">
          <a:srgbClr val="B5D2EC"/>
        </a:gs>
        <a:gs pos="100000">
          <a:srgbClr val="CEE1F2"/>
        </a:gs>
      </a:gsLst>
      <a:lin ang="5400000"/>
    </a:gradFill>
    <a:ln w="9360">
      <a:solidFill>
        <a:srgbClr val="000000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32</xdr:col>
      <xdr:colOff>135720</xdr:colOff>
      <xdr:row>41</xdr:row>
      <xdr:rowOff>2489760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244800</xdr:colOff>
      <xdr:row>24</xdr:row>
      <xdr:rowOff>79920</xdr:rowOff>
    </xdr:from>
    <xdr:to>
      <xdr:col>17</xdr:col>
      <xdr:colOff>258480</xdr:colOff>
      <xdr:row>41</xdr:row>
      <xdr:rowOff>2053440</xdr:rowOff>
    </xdr:to>
    <xdr:cxnSp macro="">
      <xdr:nvCxnSpPr>
        <xdr:cNvPr id="3" name="Connettore dirit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5122880" y="4286160"/>
          <a:ext cx="14040" cy="4953240"/>
        </a:xfrm>
        <a:prstGeom prst="straightConnector1">
          <a:avLst/>
        </a:prstGeom>
        <a:ln w="76320">
          <a:solidFill>
            <a:schemeClr val="lt2">
              <a:lumMod val="75000"/>
            </a:schemeClr>
          </a:solidFill>
          <a:prstDash val="dash"/>
          <a:miter/>
        </a:ln>
      </xdr:spPr>
    </xdr:cxnSp>
    <xdr:clientData/>
  </xdr:twoCellAnchor>
  <xdr:twoCellAnchor>
    <xdr:from>
      <xdr:col>21</xdr:col>
      <xdr:colOff>312480</xdr:colOff>
      <xdr:row>18</xdr:row>
      <xdr:rowOff>121320</xdr:rowOff>
    </xdr:from>
    <xdr:to>
      <xdr:col>26</xdr:col>
      <xdr:colOff>311040</xdr:colOff>
      <xdr:row>26</xdr:row>
      <xdr:rowOff>45360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7636400" y="3276000"/>
          <a:ext cx="3056400" cy="1326240"/>
        </a:xfrm>
        <a:prstGeom prst="rect">
          <a:avLst/>
        </a:prstGeom>
        <a:solidFill>
          <a:schemeClr val="lt1"/>
        </a:solidFill>
        <a:ln w="12600">
          <a:solidFill>
            <a:schemeClr val="accent2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it-IT" sz="1800" b="1" u="none" strike="noStrike">
              <a:solidFill>
                <a:schemeClr val="dk1"/>
              </a:solidFill>
              <a:effectLst/>
              <a:uFillTx/>
              <a:latin typeface="Segoe UI"/>
            </a:rPr>
            <a:t>AGOSTO 2025</a:t>
          </a:r>
          <a:endParaRPr lang="it-IT" sz="1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it-IT" sz="1800" b="1" u="none" strike="noStrike">
              <a:solidFill>
                <a:schemeClr val="dk1"/>
              </a:solidFill>
              <a:effectLst/>
              <a:uFillTx/>
              <a:latin typeface="Segoe UI"/>
            </a:rPr>
            <a:t>INTRODUZIONE SISTEMA RILEVAZIONE OGGETTIVA DELLE PRESENZE (BADGE)</a:t>
          </a:r>
          <a:endParaRPr lang="it-IT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21</xdr:col>
      <xdr:colOff>561600</xdr:colOff>
      <xdr:row>28</xdr:row>
      <xdr:rowOff>6120</xdr:rowOff>
    </xdr:from>
    <xdr:to>
      <xdr:col>26</xdr:col>
      <xdr:colOff>91080</xdr:colOff>
      <xdr:row>39</xdr:row>
      <xdr:rowOff>67680</xdr:rowOff>
    </xdr:to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7885520" y="4913280"/>
          <a:ext cx="2587320" cy="1989720"/>
        </a:xfrm>
        <a:prstGeom prst="rect">
          <a:avLst/>
        </a:prstGeom>
        <a:solidFill>
          <a:schemeClr val="lt1"/>
        </a:solidFill>
        <a:ln w="936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it-IT" sz="1800" b="1" u="none" strike="noStrike">
              <a:solidFill>
                <a:schemeClr val="dk1"/>
              </a:solidFill>
              <a:effectLst/>
              <a:uFillTx/>
              <a:latin typeface="Segoe UI"/>
            </a:rPr>
            <a:t>RIDUZIONE RICHIESTE STRAORDINARO NEL PRIMO MESE: </a:t>
          </a:r>
          <a:endParaRPr lang="it-IT" sz="18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it-IT" sz="3200" b="1" u="none" strike="noStrike">
              <a:solidFill>
                <a:srgbClr val="32A43D"/>
              </a:solidFill>
              <a:effectLst/>
              <a:uFillTx/>
              <a:latin typeface="Segoe UI"/>
            </a:rPr>
            <a:t>-56%</a:t>
          </a:r>
          <a:endParaRPr lang="it-IT" sz="3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17</xdr:col>
      <xdr:colOff>231120</xdr:colOff>
      <xdr:row>24</xdr:row>
      <xdr:rowOff>66240</xdr:rowOff>
    </xdr:from>
    <xdr:to>
      <xdr:col>21</xdr:col>
      <xdr:colOff>217440</xdr:colOff>
      <xdr:row>24</xdr:row>
      <xdr:rowOff>79920</xdr:rowOff>
    </xdr:to>
    <xdr:cxnSp macro="">
      <xdr:nvCxnSpPr>
        <xdr:cNvPr id="6" name="Connettore 2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 flipH="1" flipV="1">
          <a:off x="15109200" y="4272480"/>
          <a:ext cx="2432520" cy="14040"/>
        </a:xfrm>
        <a:prstGeom prst="straightConnector1">
          <a:avLst/>
        </a:prstGeom>
        <a:ln w="57240">
          <a:solidFill>
            <a:srgbClr val="FF0000"/>
          </a:solidFill>
          <a:miter/>
          <a:tailEnd type="triangle" w="med" len="med"/>
        </a:ln>
      </xdr:spPr>
    </xdr:cxnSp>
    <xdr:clientData/>
  </xdr:twoCellAnchor>
  <xdr:twoCellAnchor>
    <xdr:from>
      <xdr:col>27</xdr:col>
      <xdr:colOff>530640</xdr:colOff>
      <xdr:row>27</xdr:row>
      <xdr:rowOff>34200</xdr:rowOff>
    </xdr:from>
    <xdr:to>
      <xdr:col>31</xdr:col>
      <xdr:colOff>574200</xdr:colOff>
      <xdr:row>40</xdr:row>
      <xdr:rowOff>29880</xdr:rowOff>
    </xdr:to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1523680" y="4766400"/>
          <a:ext cx="2489760" cy="2273760"/>
        </a:xfrm>
        <a:prstGeom prst="rect">
          <a:avLst/>
        </a:prstGeom>
        <a:solidFill>
          <a:schemeClr val="lt1"/>
        </a:solidFill>
        <a:ln w="936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it-IT" sz="1800" b="1" u="none" strike="noStrike">
              <a:solidFill>
                <a:schemeClr val="dk1"/>
              </a:solidFill>
              <a:effectLst/>
              <a:uFillTx/>
              <a:latin typeface="Segoe UI"/>
            </a:rPr>
            <a:t>RISPARMIO BUDGET SU BASE ANNUA (AGO-DIC)</a:t>
          </a:r>
          <a:endParaRPr lang="it-IT" sz="18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it-IT" sz="1800" b="1" u="none" strike="noStrike">
              <a:solidFill>
                <a:schemeClr val="dk1"/>
              </a:solidFill>
              <a:effectLst/>
              <a:uFillTx/>
              <a:latin typeface="Segoe UI"/>
            </a:rPr>
            <a:t>RISPETTO ALL'ANNO PRECDEDENTE</a:t>
          </a:r>
          <a:endParaRPr lang="it-IT" sz="18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it-IT" sz="3200" b="1" u="none" strike="noStrike">
              <a:solidFill>
                <a:srgbClr val="32A43D"/>
              </a:solidFill>
              <a:effectLst/>
              <a:uFillTx/>
              <a:latin typeface="Segoe UI"/>
            </a:rPr>
            <a:t>24%</a:t>
          </a:r>
          <a:endParaRPr lang="it-IT" sz="3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24</xdr:col>
      <xdr:colOff>9000</xdr:colOff>
      <xdr:row>28</xdr:row>
      <xdr:rowOff>91440</xdr:rowOff>
    </xdr:from>
    <xdr:to>
      <xdr:col>24</xdr:col>
      <xdr:colOff>23400</xdr:colOff>
      <xdr:row>30</xdr:row>
      <xdr:rowOff>66960</xdr:rowOff>
    </xdr:to>
    <xdr:cxnSp macro="">
      <xdr:nvCxnSpPr>
        <xdr:cNvPr id="8" name="Connettore 2 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19167480" y="4998600"/>
          <a:ext cx="14760" cy="326520"/>
        </a:xfrm>
        <a:prstGeom prst="straightConnector1">
          <a:avLst/>
        </a:prstGeom>
        <a:ln w="57240">
          <a:solidFill>
            <a:srgbClr val="FF0000"/>
          </a:solidFill>
          <a:miter/>
          <a:tailEnd type="triangle" w="med" len="med"/>
        </a:ln>
      </xdr:spPr>
    </xdr:cxnSp>
    <xdr:clientData/>
  </xdr:twoCellAnchor>
  <xdr:twoCellAnchor>
    <xdr:from>
      <xdr:col>26</xdr:col>
      <xdr:colOff>91440</xdr:colOff>
      <xdr:row>36</xdr:row>
      <xdr:rowOff>101880</xdr:rowOff>
    </xdr:from>
    <xdr:to>
      <xdr:col>27</xdr:col>
      <xdr:colOff>530640</xdr:colOff>
      <xdr:row>36</xdr:row>
      <xdr:rowOff>104760</xdr:rowOff>
    </xdr:to>
    <xdr:cxnSp macro="">
      <xdr:nvCxnSpPr>
        <xdr:cNvPr id="9" name="Connettore 2 6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20473200" y="6411240"/>
          <a:ext cx="1050840" cy="3240"/>
        </a:xfrm>
        <a:prstGeom prst="straightConnector1">
          <a:avLst/>
        </a:prstGeom>
        <a:ln w="57240">
          <a:solidFill>
            <a:srgbClr val="FF0000"/>
          </a:solidFill>
          <a:miter/>
          <a:tailEnd type="triangle" w="med" len="med"/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51840</xdr:colOff>
      <xdr:row>3</xdr:row>
      <xdr:rowOff>104040</xdr:rowOff>
    </xdr:from>
    <xdr:to>
      <xdr:col>71</xdr:col>
      <xdr:colOff>237600</xdr:colOff>
      <xdr:row>97</xdr:row>
      <xdr:rowOff>77760</xdr:rowOff>
    </xdr:to>
    <xdr:pic>
      <xdr:nvPicPr>
        <xdr:cNvPr id="9" name="Immagine 6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920680" y="968760"/>
          <a:ext cx="45483480" cy="17688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31320</xdr:colOff>
      <xdr:row>148</xdr:row>
      <xdr:rowOff>45000</xdr:rowOff>
    </xdr:from>
    <xdr:to>
      <xdr:col>27</xdr:col>
      <xdr:colOff>544680</xdr:colOff>
      <xdr:row>161</xdr:row>
      <xdr:rowOff>34920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122760" y="27667440"/>
          <a:ext cx="12682440" cy="226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113400</xdr:colOff>
      <xdr:row>101</xdr:row>
      <xdr:rowOff>153000</xdr:rowOff>
    </xdr:from>
    <xdr:to>
      <xdr:col>40</xdr:col>
      <xdr:colOff>482400</xdr:colOff>
      <xdr:row>156</xdr:row>
      <xdr:rowOff>61920</xdr:rowOff>
    </xdr:to>
    <xdr:pic>
      <xdr:nvPicPr>
        <xdr:cNvPr id="11" name="Immagine 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982240" y="19433520"/>
          <a:ext cx="26710200" cy="965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42</xdr:col>
      <xdr:colOff>4680</xdr:colOff>
      <xdr:row>100</xdr:row>
      <xdr:rowOff>28800</xdr:rowOff>
    </xdr:from>
    <xdr:to>
      <xdr:col>71</xdr:col>
      <xdr:colOff>109440</xdr:colOff>
      <xdr:row>150</xdr:row>
      <xdr:rowOff>124200</xdr:rowOff>
    </xdr:to>
    <xdr:pic>
      <xdr:nvPicPr>
        <xdr:cNvPr id="12" name="Immagine 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0437640" y="19134000"/>
          <a:ext cx="17838360" cy="896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B2:E15">
  <tableColumns count="4">
    <tableColumn id="1" xr3:uid="{00000000-0010-0000-0000-000001000000}" name="Id Dipendente" totalsRowLabel="TOTALE"/>
    <tableColumn id="2" xr3:uid="{00000000-0010-0000-0000-000002000000}" name="Eccedenze al 31/12/2024"/>
    <tableColumn id="3" xr3:uid="{00000000-0010-0000-0000-000003000000}" name="Eccedenze al 31/12/2025"/>
    <tableColumn id="4" xr3:uid="{00000000-0010-0000-0000-000004000000}" name="Differenza (-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4"/>
  <sheetViews>
    <sheetView zoomScale="60" zoomScaleNormal="60" workbookViewId="0">
      <pane xSplit="1" topLeftCell="B1" activePane="topRight" state="frozen"/>
      <selection pane="topRight" activeCell="R58" sqref="R58"/>
    </sheetView>
  </sheetViews>
  <sheetFormatPr defaultColWidth="8.6640625" defaultRowHeight="14.4" x14ac:dyDescent="0.3"/>
  <cols>
    <col min="1" max="1" width="15.6640625" customWidth="1"/>
    <col min="2" max="2" width="8" style="15" customWidth="1"/>
    <col min="3" max="3" width="8.6640625" style="15"/>
    <col min="4" max="4" width="8" style="15" customWidth="1"/>
    <col min="5" max="5" width="8.6640625" style="15"/>
    <col min="6" max="6" width="8" style="15" customWidth="1"/>
    <col min="7" max="7" width="8.6640625" style="15"/>
    <col min="8" max="8" width="8" style="15" customWidth="1"/>
    <col min="9" max="9" width="8.6640625" style="15"/>
    <col min="10" max="10" width="8" style="15" customWidth="1"/>
    <col min="11" max="11" width="8.6640625" style="15"/>
    <col min="12" max="12" width="8" style="15" customWidth="1"/>
    <col min="13" max="13" width="8.6640625" style="15"/>
    <col min="14" max="14" width="8" style="15" customWidth="1"/>
    <col min="15" max="15" width="8.6640625" style="15"/>
    <col min="16" max="16" width="8" style="15" customWidth="1"/>
    <col min="17" max="17" width="8.6640625" style="15"/>
    <col min="18" max="18" width="8" style="15" customWidth="1"/>
    <col min="19" max="19" width="8.6640625" style="15"/>
    <col min="20" max="20" width="8" style="15" customWidth="1"/>
    <col min="21" max="21" width="8.6640625" style="15"/>
    <col min="22" max="22" width="8" style="15" customWidth="1"/>
    <col min="23" max="23" width="8.6640625" style="15"/>
    <col min="24" max="24" width="8" style="15" customWidth="1"/>
    <col min="25" max="25" width="8.6640625" style="15"/>
    <col min="26" max="26" width="8" style="15" customWidth="1"/>
    <col min="27" max="28" width="8.6640625" style="15"/>
    <col min="29" max="29" width="9.109375" style="15" customWidth="1"/>
    <col min="30" max="31" width="9.44140625" style="16" customWidth="1"/>
    <col min="32" max="32" width="10.44140625" style="16" customWidth="1"/>
    <col min="33" max="33" width="11.109375" style="16" customWidth="1"/>
    <col min="34" max="40" width="9.44140625" style="16" customWidth="1"/>
    <col min="41" max="41" width="12.33203125" style="16" customWidth="1"/>
    <col min="42" max="42" width="9.109375" style="16" customWidth="1"/>
    <col min="43" max="43" width="25.88671875" style="17" customWidth="1"/>
    <col min="16384" max="16384" width="11.5546875" customWidth="1"/>
  </cols>
  <sheetData>
    <row r="1" spans="1:46" s="15" customFormat="1" ht="25.8" x14ac:dyDescent="0.3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8"/>
      <c r="AD1" s="13" t="s">
        <v>1</v>
      </c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6"/>
      <c r="AR1"/>
      <c r="AS1"/>
      <c r="AT1"/>
    </row>
    <row r="2" spans="1:46" x14ac:dyDescent="0.3">
      <c r="A2" s="19"/>
      <c r="B2" s="12" t="s">
        <v>2</v>
      </c>
      <c r="C2" s="12"/>
      <c r="D2" s="12" t="s">
        <v>3</v>
      </c>
      <c r="E2" s="12"/>
      <c r="F2" s="12" t="s">
        <v>4</v>
      </c>
      <c r="G2" s="12"/>
      <c r="H2" s="12" t="s">
        <v>5</v>
      </c>
      <c r="I2" s="12"/>
      <c r="J2" s="12" t="s">
        <v>6</v>
      </c>
      <c r="K2" s="12"/>
      <c r="L2" s="12" t="s">
        <v>7</v>
      </c>
      <c r="M2" s="12"/>
      <c r="N2" s="12" t="s">
        <v>8</v>
      </c>
      <c r="O2" s="12"/>
      <c r="P2" s="12" t="s">
        <v>9</v>
      </c>
      <c r="Q2" s="12"/>
      <c r="R2" s="12" t="s">
        <v>10</v>
      </c>
      <c r="S2" s="12"/>
      <c r="T2" s="12" t="s">
        <v>11</v>
      </c>
      <c r="U2" s="12"/>
      <c r="V2" s="12" t="s">
        <v>12</v>
      </c>
      <c r="W2" s="12"/>
      <c r="X2" s="12" t="s">
        <v>13</v>
      </c>
      <c r="Y2" s="12"/>
      <c r="Z2" s="12" t="s">
        <v>14</v>
      </c>
      <c r="AA2" s="12"/>
      <c r="AB2" s="18"/>
      <c r="AD2" s="11" t="s">
        <v>15</v>
      </c>
      <c r="AE2" s="11"/>
      <c r="AF2" s="10" t="s">
        <v>16</v>
      </c>
      <c r="AG2" s="10"/>
      <c r="AH2" s="9" t="s">
        <v>17</v>
      </c>
      <c r="AI2" s="9"/>
      <c r="AJ2" s="8" t="s">
        <v>18</v>
      </c>
      <c r="AK2" s="8"/>
      <c r="AL2" s="10" t="s">
        <v>19</v>
      </c>
      <c r="AM2" s="10"/>
      <c r="AN2" s="8" t="s">
        <v>20</v>
      </c>
      <c r="AO2" s="8"/>
      <c r="AP2" s="8"/>
      <c r="AQ2" s="7" t="s">
        <v>21</v>
      </c>
    </row>
    <row r="3" spans="1:46" x14ac:dyDescent="0.3">
      <c r="A3" s="20"/>
      <c r="B3" s="21" t="s">
        <v>22</v>
      </c>
      <c r="C3" s="22" t="s">
        <v>23</v>
      </c>
      <c r="D3" s="21" t="s">
        <v>22</v>
      </c>
      <c r="E3" s="22" t="s">
        <v>23</v>
      </c>
      <c r="F3" s="21" t="s">
        <v>22</v>
      </c>
      <c r="G3" s="22" t="s">
        <v>23</v>
      </c>
      <c r="H3" s="21" t="s">
        <v>22</v>
      </c>
      <c r="I3" s="22" t="s">
        <v>23</v>
      </c>
      <c r="J3" s="21" t="s">
        <v>22</v>
      </c>
      <c r="K3" s="22" t="s">
        <v>23</v>
      </c>
      <c r="L3" s="21" t="s">
        <v>22</v>
      </c>
      <c r="M3" s="22" t="s">
        <v>23</v>
      </c>
      <c r="N3" s="21" t="s">
        <v>22</v>
      </c>
      <c r="O3" s="22" t="s">
        <v>23</v>
      </c>
      <c r="P3" s="21" t="s">
        <v>22</v>
      </c>
      <c r="Q3" s="22" t="s">
        <v>23</v>
      </c>
      <c r="R3" s="21" t="s">
        <v>22</v>
      </c>
      <c r="S3" s="22" t="s">
        <v>23</v>
      </c>
      <c r="T3" s="21" t="s">
        <v>22</v>
      </c>
      <c r="U3" s="22" t="s">
        <v>23</v>
      </c>
      <c r="V3" s="21" t="s">
        <v>22</v>
      </c>
      <c r="W3" s="22" t="s">
        <v>23</v>
      </c>
      <c r="X3" s="21" t="s">
        <v>22</v>
      </c>
      <c r="Y3" s="22" t="s">
        <v>23</v>
      </c>
      <c r="Z3" s="21" t="s">
        <v>22</v>
      </c>
      <c r="AA3" s="22" t="s">
        <v>23</v>
      </c>
      <c r="AB3" s="18"/>
      <c r="AD3" s="23" t="s">
        <v>22</v>
      </c>
      <c r="AE3" s="24" t="s">
        <v>23</v>
      </c>
      <c r="AF3" s="23" t="s">
        <v>22</v>
      </c>
      <c r="AG3" s="25" t="s">
        <v>23</v>
      </c>
      <c r="AH3" s="26" t="s">
        <v>22</v>
      </c>
      <c r="AI3" s="25" t="s">
        <v>23</v>
      </c>
      <c r="AJ3" s="26" t="s">
        <v>22</v>
      </c>
      <c r="AK3" s="24" t="s">
        <v>23</v>
      </c>
      <c r="AL3" s="23" t="s">
        <v>22</v>
      </c>
      <c r="AM3" s="25" t="s">
        <v>23</v>
      </c>
      <c r="AN3" s="27" t="s">
        <v>22</v>
      </c>
      <c r="AO3" s="28" t="s">
        <v>23</v>
      </c>
      <c r="AP3" s="29" t="s">
        <v>24</v>
      </c>
      <c r="AQ3" s="7"/>
    </row>
    <row r="4" spans="1:46" x14ac:dyDescent="0.3">
      <c r="A4" s="6" t="s">
        <v>25</v>
      </c>
      <c r="B4" s="30">
        <v>32</v>
      </c>
      <c r="C4" s="30">
        <v>2</v>
      </c>
      <c r="D4" s="30">
        <v>32</v>
      </c>
      <c r="E4" s="30">
        <v>5</v>
      </c>
      <c r="F4" s="30">
        <v>40</v>
      </c>
      <c r="G4" s="30">
        <v>8</v>
      </c>
      <c r="H4" s="31">
        <v>50</v>
      </c>
      <c r="I4" s="30">
        <v>8</v>
      </c>
      <c r="J4" s="31">
        <v>12</v>
      </c>
      <c r="K4" s="30">
        <v>8</v>
      </c>
      <c r="L4" s="31">
        <v>32</v>
      </c>
      <c r="M4" s="30">
        <v>9</v>
      </c>
      <c r="N4" s="31">
        <v>34</v>
      </c>
      <c r="O4" s="30">
        <v>2</v>
      </c>
      <c r="P4" s="31">
        <v>44</v>
      </c>
      <c r="Q4" s="30">
        <v>13</v>
      </c>
      <c r="R4" s="31">
        <v>49</v>
      </c>
      <c r="S4" s="30">
        <v>7</v>
      </c>
      <c r="T4" s="31">
        <v>34</v>
      </c>
      <c r="U4" s="30">
        <v>17</v>
      </c>
      <c r="V4" s="31">
        <v>25</v>
      </c>
      <c r="W4" s="30">
        <v>5</v>
      </c>
      <c r="X4" s="31">
        <v>20</v>
      </c>
      <c r="Y4" s="30">
        <v>5</v>
      </c>
      <c r="Z4" s="32">
        <f t="shared" ref="Z4:Z51" si="0">SUM(B4,D4,F4,H4,J4,L4,N4,P4,R4,T4,V4,X4)</f>
        <v>404</v>
      </c>
      <c r="AA4" s="30">
        <f t="shared" ref="AA4:AA51" si="1">SUM(C4,E4,G4,I4,K4,M4,O4,Q4,S4,U4,W4,Y4)</f>
        <v>89</v>
      </c>
      <c r="AB4" s="18">
        <f t="shared" ref="AB4:AB35" si="2">SUM(Z4:AA4)</f>
        <v>493</v>
      </c>
      <c r="AD4" s="33">
        <v>123</v>
      </c>
      <c r="AE4" s="34">
        <v>18</v>
      </c>
      <c r="AF4" s="33">
        <f t="shared" ref="AF4:AF51" si="3">B4+D4+F4+H4-AD4</f>
        <v>31</v>
      </c>
      <c r="AG4" s="35">
        <f t="shared" ref="AG4:AG51" si="4">(C4+E4+G4+I4)-AE4</f>
        <v>5</v>
      </c>
      <c r="AH4" s="36">
        <v>87</v>
      </c>
      <c r="AI4" s="37">
        <v>18</v>
      </c>
      <c r="AJ4" s="38">
        <v>115</v>
      </c>
      <c r="AK4" s="35">
        <v>25</v>
      </c>
      <c r="AL4" s="39">
        <v>36</v>
      </c>
      <c r="AM4" s="37">
        <v>27</v>
      </c>
      <c r="AN4" s="38">
        <f t="shared" ref="AN4:AN35" si="5">SUM(AD4,AF4,AH4,AJ4,AL4)</f>
        <v>392</v>
      </c>
      <c r="AO4" s="40">
        <f t="shared" ref="AO4:AO35" si="6">SUM(AE4,AG4,AI4,AK4,AM4)</f>
        <v>93</v>
      </c>
      <c r="AP4" s="41">
        <f t="shared" ref="AP4:AP35" si="7">(AN4+AO4)</f>
        <v>485</v>
      </c>
      <c r="AQ4" s="42">
        <f>(AN4+AO4)/(Z4+AA4)</f>
        <v>0.98377281947261663</v>
      </c>
    </row>
    <row r="5" spans="1:46" x14ac:dyDescent="0.3">
      <c r="A5" s="6"/>
      <c r="B5" s="43"/>
      <c r="C5" s="43"/>
      <c r="D5" s="43">
        <v>3</v>
      </c>
      <c r="E5" s="43">
        <v>0</v>
      </c>
      <c r="F5" s="43">
        <v>1</v>
      </c>
      <c r="G5" s="43">
        <v>0</v>
      </c>
      <c r="H5" s="44"/>
      <c r="I5" s="43"/>
      <c r="J5" s="44">
        <v>1</v>
      </c>
      <c r="K5" s="43">
        <v>0</v>
      </c>
      <c r="L5" s="44"/>
      <c r="M5" s="43"/>
      <c r="N5" s="44"/>
      <c r="O5" s="43"/>
      <c r="P5" s="44"/>
      <c r="Q5" s="43"/>
      <c r="R5" s="44">
        <v>0</v>
      </c>
      <c r="S5" s="43">
        <v>4</v>
      </c>
      <c r="T5" s="44"/>
      <c r="U5" s="43"/>
      <c r="V5" s="44"/>
      <c r="W5" s="43"/>
      <c r="X5" s="44"/>
      <c r="Y5" s="43"/>
      <c r="Z5" s="45">
        <f t="shared" si="0"/>
        <v>5</v>
      </c>
      <c r="AA5" s="43">
        <f t="shared" si="1"/>
        <v>4</v>
      </c>
      <c r="AB5" s="18">
        <f t="shared" si="2"/>
        <v>9</v>
      </c>
      <c r="AD5" s="46">
        <v>3</v>
      </c>
      <c r="AE5" s="47">
        <v>0</v>
      </c>
      <c r="AF5" s="46">
        <f t="shared" si="3"/>
        <v>1</v>
      </c>
      <c r="AG5" s="48">
        <f t="shared" si="4"/>
        <v>0</v>
      </c>
      <c r="AH5" s="49">
        <v>1</v>
      </c>
      <c r="AI5" s="50">
        <v>0</v>
      </c>
      <c r="AJ5" s="51">
        <v>1</v>
      </c>
      <c r="AK5" s="48">
        <v>4</v>
      </c>
      <c r="AL5" s="51"/>
      <c r="AM5" s="50"/>
      <c r="AN5" s="51">
        <f t="shared" si="5"/>
        <v>6</v>
      </c>
      <c r="AO5" s="52">
        <f t="shared" si="6"/>
        <v>4</v>
      </c>
      <c r="AP5" s="50">
        <f t="shared" si="7"/>
        <v>10</v>
      </c>
      <c r="AQ5" s="53">
        <f>(AN5+AO5)/(Z5+AA5)</f>
        <v>1.1111111111111112</v>
      </c>
    </row>
    <row r="6" spans="1:46" x14ac:dyDescent="0.3">
      <c r="A6" s="6"/>
      <c r="B6" s="43">
        <v>6</v>
      </c>
      <c r="C6" s="43">
        <v>0</v>
      </c>
      <c r="D6" s="43">
        <v>1</v>
      </c>
      <c r="E6" s="43">
        <v>0</v>
      </c>
      <c r="F6" s="43"/>
      <c r="G6" s="43"/>
      <c r="H6" s="44">
        <v>3</v>
      </c>
      <c r="I6" s="43">
        <v>0</v>
      </c>
      <c r="J6" s="44">
        <v>0</v>
      </c>
      <c r="K6" s="43">
        <v>3</v>
      </c>
      <c r="L6" s="44"/>
      <c r="M6" s="43"/>
      <c r="N6" s="44">
        <v>6</v>
      </c>
      <c r="O6" s="43">
        <v>5</v>
      </c>
      <c r="P6" s="44">
        <v>2</v>
      </c>
      <c r="Q6" s="43">
        <v>0</v>
      </c>
      <c r="R6" s="44"/>
      <c r="S6" s="43"/>
      <c r="T6" s="44">
        <v>1</v>
      </c>
      <c r="U6" s="43">
        <v>0</v>
      </c>
      <c r="V6" s="44"/>
      <c r="W6" s="43"/>
      <c r="X6" s="44"/>
      <c r="Y6" s="43"/>
      <c r="Z6" s="45">
        <f t="shared" si="0"/>
        <v>19</v>
      </c>
      <c r="AA6" s="43">
        <f t="shared" si="1"/>
        <v>8</v>
      </c>
      <c r="AB6" s="18">
        <f t="shared" si="2"/>
        <v>27</v>
      </c>
      <c r="AD6" s="46">
        <v>8</v>
      </c>
      <c r="AE6" s="47">
        <v>0</v>
      </c>
      <c r="AF6" s="46">
        <f t="shared" si="3"/>
        <v>2</v>
      </c>
      <c r="AG6" s="48">
        <f t="shared" si="4"/>
        <v>0</v>
      </c>
      <c r="AH6" s="49">
        <v>6</v>
      </c>
      <c r="AI6" s="50">
        <v>6</v>
      </c>
      <c r="AJ6" s="51">
        <v>4</v>
      </c>
      <c r="AK6" s="48">
        <v>2</v>
      </c>
      <c r="AL6" s="51"/>
      <c r="AM6" s="50"/>
      <c r="AN6" s="51">
        <f t="shared" si="5"/>
        <v>20</v>
      </c>
      <c r="AO6" s="52">
        <f t="shared" si="6"/>
        <v>8</v>
      </c>
      <c r="AP6" s="50">
        <f t="shared" si="7"/>
        <v>28</v>
      </c>
      <c r="AQ6" s="53">
        <f>(AN6+AO6)/(Z6+AA6)</f>
        <v>1.037037037037037</v>
      </c>
    </row>
    <row r="7" spans="1:46" x14ac:dyDescent="0.3">
      <c r="A7" s="6"/>
      <c r="B7" s="43"/>
      <c r="C7" s="43"/>
      <c r="D7" s="43"/>
      <c r="E7" s="43"/>
      <c r="F7" s="43"/>
      <c r="G7" s="43"/>
      <c r="H7" s="44"/>
      <c r="I7" s="43"/>
      <c r="J7" s="44"/>
      <c r="K7" s="43"/>
      <c r="L7" s="44"/>
      <c r="M7" s="43"/>
      <c r="N7" s="44"/>
      <c r="O7" s="43"/>
      <c r="P7" s="44">
        <v>2</v>
      </c>
      <c r="Q7" s="43">
        <v>0</v>
      </c>
      <c r="R7" s="44"/>
      <c r="S7" s="43"/>
      <c r="T7" s="44">
        <v>4</v>
      </c>
      <c r="U7" s="43">
        <v>0</v>
      </c>
      <c r="V7" s="44"/>
      <c r="W7" s="43"/>
      <c r="X7" s="44"/>
      <c r="Y7" s="43"/>
      <c r="Z7" s="45">
        <f t="shared" si="0"/>
        <v>6</v>
      </c>
      <c r="AA7" s="43">
        <f t="shared" si="1"/>
        <v>0</v>
      </c>
      <c r="AB7" s="18">
        <f t="shared" si="2"/>
        <v>6</v>
      </c>
      <c r="AD7" s="46"/>
      <c r="AE7" s="47"/>
      <c r="AF7" s="46">
        <f t="shared" si="3"/>
        <v>0</v>
      </c>
      <c r="AG7" s="48">
        <f t="shared" si="4"/>
        <v>0</v>
      </c>
      <c r="AH7" s="49"/>
      <c r="AI7" s="50"/>
      <c r="AJ7" s="51">
        <v>2</v>
      </c>
      <c r="AK7" s="48">
        <v>0</v>
      </c>
      <c r="AL7" s="51">
        <v>3</v>
      </c>
      <c r="AM7" s="50"/>
      <c r="AN7" s="51">
        <f t="shared" si="5"/>
        <v>5</v>
      </c>
      <c r="AO7" s="52">
        <f t="shared" si="6"/>
        <v>0</v>
      </c>
      <c r="AP7" s="50">
        <f t="shared" si="7"/>
        <v>5</v>
      </c>
      <c r="AQ7" s="53">
        <f>(AN7+AO7)/(Z7+AA7)</f>
        <v>0.83333333333333337</v>
      </c>
    </row>
    <row r="8" spans="1:46" x14ac:dyDescent="0.3">
      <c r="A8" s="6"/>
      <c r="B8" s="43"/>
      <c r="C8" s="43"/>
      <c r="D8" s="43"/>
      <c r="E8" s="43"/>
      <c r="F8" s="43"/>
      <c r="G8" s="43"/>
      <c r="H8" s="44"/>
      <c r="I8" s="43"/>
      <c r="J8" s="44"/>
      <c r="K8" s="43"/>
      <c r="L8" s="44"/>
      <c r="M8" s="43"/>
      <c r="N8" s="44"/>
      <c r="O8" s="43"/>
      <c r="P8" s="44"/>
      <c r="Q8" s="43"/>
      <c r="R8" s="44"/>
      <c r="S8" s="43"/>
      <c r="T8" s="44"/>
      <c r="U8" s="43"/>
      <c r="V8" s="44"/>
      <c r="W8" s="43"/>
      <c r="X8" s="44"/>
      <c r="Y8" s="43"/>
      <c r="Z8" s="45">
        <f t="shared" si="0"/>
        <v>0</v>
      </c>
      <c r="AA8" s="43">
        <f t="shared" si="1"/>
        <v>0</v>
      </c>
      <c r="AB8" s="18">
        <f t="shared" si="2"/>
        <v>0</v>
      </c>
      <c r="AD8" s="46"/>
      <c r="AE8" s="47"/>
      <c r="AF8" s="46">
        <f t="shared" si="3"/>
        <v>0</v>
      </c>
      <c r="AG8" s="48">
        <f t="shared" si="4"/>
        <v>0</v>
      </c>
      <c r="AH8" s="49"/>
      <c r="AI8" s="50"/>
      <c r="AJ8" s="51"/>
      <c r="AK8" s="48"/>
      <c r="AL8" s="51"/>
      <c r="AM8" s="50"/>
      <c r="AN8" s="51">
        <f t="shared" si="5"/>
        <v>0</v>
      </c>
      <c r="AO8" s="52">
        <f t="shared" si="6"/>
        <v>0</v>
      </c>
      <c r="AP8" s="50">
        <f t="shared" si="7"/>
        <v>0</v>
      </c>
      <c r="AQ8" s="53"/>
    </row>
    <row r="9" spans="1:46" x14ac:dyDescent="0.3">
      <c r="A9" s="6"/>
      <c r="B9" s="43"/>
      <c r="C9" s="43"/>
      <c r="D9" s="43"/>
      <c r="E9" s="43"/>
      <c r="F9" s="43"/>
      <c r="G9" s="43"/>
      <c r="H9" s="44">
        <v>3</v>
      </c>
      <c r="I9" s="43">
        <v>0</v>
      </c>
      <c r="J9" s="44"/>
      <c r="K9" s="43"/>
      <c r="L9" s="44"/>
      <c r="M9" s="43"/>
      <c r="N9" s="44"/>
      <c r="O9" s="43"/>
      <c r="P9" s="44"/>
      <c r="Q9" s="43"/>
      <c r="R9" s="44"/>
      <c r="S9" s="43"/>
      <c r="T9" s="44"/>
      <c r="U9" s="43"/>
      <c r="V9" s="44"/>
      <c r="W9" s="43"/>
      <c r="X9" s="44"/>
      <c r="Y9" s="43"/>
      <c r="Z9" s="45">
        <f t="shared" si="0"/>
        <v>3</v>
      </c>
      <c r="AA9" s="43">
        <f t="shared" si="1"/>
        <v>0</v>
      </c>
      <c r="AB9" s="18">
        <f t="shared" si="2"/>
        <v>3</v>
      </c>
      <c r="AD9" s="46"/>
      <c r="AE9" s="47"/>
      <c r="AF9" s="46">
        <f t="shared" si="3"/>
        <v>3</v>
      </c>
      <c r="AG9" s="48">
        <f t="shared" si="4"/>
        <v>0</v>
      </c>
      <c r="AH9" s="49"/>
      <c r="AI9" s="50"/>
      <c r="AJ9" s="51">
        <v>1</v>
      </c>
      <c r="AK9" s="48">
        <v>0</v>
      </c>
      <c r="AL9" s="51"/>
      <c r="AM9" s="50"/>
      <c r="AN9" s="51">
        <f t="shared" si="5"/>
        <v>4</v>
      </c>
      <c r="AO9" s="52">
        <f t="shared" si="6"/>
        <v>0</v>
      </c>
      <c r="AP9" s="50">
        <f t="shared" si="7"/>
        <v>4</v>
      </c>
      <c r="AQ9" s="53">
        <f>(AN9+AO9)/(Z9+AA9)</f>
        <v>1.3333333333333333</v>
      </c>
    </row>
    <row r="10" spans="1:46" x14ac:dyDescent="0.3">
      <c r="A10" s="6"/>
      <c r="B10" s="43"/>
      <c r="C10" s="43"/>
      <c r="D10" s="43"/>
      <c r="E10" s="43"/>
      <c r="F10" s="43"/>
      <c r="G10" s="43"/>
      <c r="H10" s="44"/>
      <c r="I10" s="43"/>
      <c r="J10" s="44"/>
      <c r="K10" s="43"/>
      <c r="L10" s="44"/>
      <c r="M10" s="43"/>
      <c r="N10" s="44"/>
      <c r="O10" s="43"/>
      <c r="P10" s="44"/>
      <c r="Q10" s="43"/>
      <c r="R10" s="44"/>
      <c r="S10" s="43"/>
      <c r="T10" s="44"/>
      <c r="U10" s="43"/>
      <c r="V10" s="44"/>
      <c r="W10" s="43"/>
      <c r="X10" s="44"/>
      <c r="Y10" s="43"/>
      <c r="Z10" s="45">
        <f t="shared" si="0"/>
        <v>0</v>
      </c>
      <c r="AA10" s="43">
        <f t="shared" si="1"/>
        <v>0</v>
      </c>
      <c r="AB10" s="18">
        <f t="shared" si="2"/>
        <v>0</v>
      </c>
      <c r="AD10" s="46"/>
      <c r="AE10" s="47"/>
      <c r="AF10" s="46">
        <f t="shared" si="3"/>
        <v>0</v>
      </c>
      <c r="AG10" s="48">
        <f t="shared" si="4"/>
        <v>0</v>
      </c>
      <c r="AH10" s="49"/>
      <c r="AI10" s="50"/>
      <c r="AJ10" s="51"/>
      <c r="AK10" s="48"/>
      <c r="AL10" s="51"/>
      <c r="AM10" s="50"/>
      <c r="AN10" s="51">
        <f t="shared" si="5"/>
        <v>0</v>
      </c>
      <c r="AO10" s="52">
        <f t="shared" si="6"/>
        <v>0</v>
      </c>
      <c r="AP10" s="50">
        <f t="shared" si="7"/>
        <v>0</v>
      </c>
      <c r="AQ10" s="53"/>
    </row>
    <row r="11" spans="1:46" x14ac:dyDescent="0.3">
      <c r="A11" s="6"/>
      <c r="B11" s="43"/>
      <c r="C11" s="43"/>
      <c r="D11" s="43">
        <v>3</v>
      </c>
      <c r="E11" s="43">
        <v>0</v>
      </c>
      <c r="F11" s="43">
        <v>3</v>
      </c>
      <c r="G11" s="43">
        <v>0</v>
      </c>
      <c r="H11" s="44"/>
      <c r="I11" s="43"/>
      <c r="J11" s="44">
        <v>8</v>
      </c>
      <c r="K11" s="43">
        <v>3</v>
      </c>
      <c r="L11" s="44">
        <v>3</v>
      </c>
      <c r="M11" s="43">
        <v>0</v>
      </c>
      <c r="N11" s="44">
        <v>5</v>
      </c>
      <c r="O11" s="43">
        <v>0</v>
      </c>
      <c r="P11" s="44">
        <v>3</v>
      </c>
      <c r="Q11" s="43">
        <v>5</v>
      </c>
      <c r="R11" s="44"/>
      <c r="S11" s="43"/>
      <c r="T11" s="44">
        <v>2</v>
      </c>
      <c r="U11" s="43">
        <v>0</v>
      </c>
      <c r="V11" s="44">
        <v>2</v>
      </c>
      <c r="W11" s="43">
        <v>0</v>
      </c>
      <c r="X11" s="44"/>
      <c r="Y11" s="43"/>
      <c r="Z11" s="45">
        <f t="shared" si="0"/>
        <v>29</v>
      </c>
      <c r="AA11" s="43">
        <f t="shared" si="1"/>
        <v>8</v>
      </c>
      <c r="AB11" s="18">
        <f t="shared" si="2"/>
        <v>37</v>
      </c>
      <c r="AD11" s="46">
        <v>4</v>
      </c>
      <c r="AE11" s="47">
        <v>0</v>
      </c>
      <c r="AF11" s="46">
        <f t="shared" si="3"/>
        <v>2</v>
      </c>
      <c r="AG11" s="48">
        <f t="shared" si="4"/>
        <v>0</v>
      </c>
      <c r="AH11" s="49">
        <v>14</v>
      </c>
      <c r="AI11" s="50">
        <v>2</v>
      </c>
      <c r="AJ11" s="51">
        <v>7</v>
      </c>
      <c r="AK11" s="48">
        <v>6</v>
      </c>
      <c r="AL11" s="51">
        <v>3</v>
      </c>
      <c r="AM11" s="50"/>
      <c r="AN11" s="51">
        <f t="shared" si="5"/>
        <v>30</v>
      </c>
      <c r="AO11" s="52">
        <f t="shared" si="6"/>
        <v>8</v>
      </c>
      <c r="AP11" s="50">
        <f t="shared" si="7"/>
        <v>38</v>
      </c>
      <c r="AQ11" s="53">
        <f>(AN11+AO11)/(Z11+AA11)</f>
        <v>1.027027027027027</v>
      </c>
    </row>
    <row r="12" spans="1:46" x14ac:dyDescent="0.3">
      <c r="A12" s="6"/>
      <c r="B12" s="43"/>
      <c r="C12" s="43"/>
      <c r="D12" s="43"/>
      <c r="E12" s="43"/>
      <c r="F12" s="43"/>
      <c r="G12" s="43"/>
      <c r="H12" s="44"/>
      <c r="I12" s="43"/>
      <c r="J12" s="44"/>
      <c r="K12" s="43"/>
      <c r="L12" s="44"/>
      <c r="M12" s="43"/>
      <c r="N12" s="44"/>
      <c r="O12" s="43"/>
      <c r="P12" s="44"/>
      <c r="Q12" s="43"/>
      <c r="R12" s="44"/>
      <c r="S12" s="43"/>
      <c r="T12" s="44"/>
      <c r="U12" s="43"/>
      <c r="V12" s="44"/>
      <c r="W12" s="43"/>
      <c r="X12" s="44"/>
      <c r="Y12" s="43"/>
      <c r="Z12" s="45">
        <f t="shared" si="0"/>
        <v>0</v>
      </c>
      <c r="AA12" s="43">
        <f t="shared" si="1"/>
        <v>0</v>
      </c>
      <c r="AB12" s="18">
        <f t="shared" si="2"/>
        <v>0</v>
      </c>
      <c r="AD12" s="46">
        <v>0</v>
      </c>
      <c r="AE12" s="47">
        <v>0</v>
      </c>
      <c r="AF12" s="46">
        <f t="shared" si="3"/>
        <v>0</v>
      </c>
      <c r="AG12" s="48">
        <f t="shared" si="4"/>
        <v>0</v>
      </c>
      <c r="AH12" s="49">
        <v>3</v>
      </c>
      <c r="AI12" s="50">
        <v>0</v>
      </c>
      <c r="AJ12" s="51"/>
      <c r="AK12" s="48"/>
      <c r="AL12" s="51"/>
      <c r="AM12" s="50"/>
      <c r="AN12" s="51">
        <f t="shared" si="5"/>
        <v>3</v>
      </c>
      <c r="AO12" s="52">
        <f t="shared" si="6"/>
        <v>0</v>
      </c>
      <c r="AP12" s="50">
        <f t="shared" si="7"/>
        <v>3</v>
      </c>
      <c r="AQ12" s="53"/>
    </row>
    <row r="13" spans="1:46" x14ac:dyDescent="0.3">
      <c r="A13" s="6"/>
      <c r="B13" s="43"/>
      <c r="C13" s="43"/>
      <c r="D13" s="43"/>
      <c r="E13" s="43"/>
      <c r="F13" s="43"/>
      <c r="G13" s="43"/>
      <c r="H13" s="44"/>
      <c r="I13" s="43"/>
      <c r="J13" s="44">
        <v>0</v>
      </c>
      <c r="K13" s="43">
        <v>4</v>
      </c>
      <c r="L13" s="44"/>
      <c r="M13" s="43"/>
      <c r="N13" s="44"/>
      <c r="O13" s="43"/>
      <c r="P13" s="44">
        <v>2</v>
      </c>
      <c r="Q13" s="43">
        <v>2</v>
      </c>
      <c r="R13" s="44"/>
      <c r="S13" s="43"/>
      <c r="T13" s="44"/>
      <c r="U13" s="43"/>
      <c r="V13" s="44"/>
      <c r="W13" s="43"/>
      <c r="X13" s="44"/>
      <c r="Y13" s="43"/>
      <c r="Z13" s="45">
        <f t="shared" si="0"/>
        <v>2</v>
      </c>
      <c r="AA13" s="43">
        <f t="shared" si="1"/>
        <v>6</v>
      </c>
      <c r="AB13" s="18">
        <f t="shared" si="2"/>
        <v>8</v>
      </c>
      <c r="AD13" s="46">
        <v>0</v>
      </c>
      <c r="AE13" s="47">
        <v>0</v>
      </c>
      <c r="AF13" s="46">
        <f t="shared" si="3"/>
        <v>0</v>
      </c>
      <c r="AG13" s="48">
        <f t="shared" si="4"/>
        <v>0</v>
      </c>
      <c r="AH13" s="49">
        <v>3</v>
      </c>
      <c r="AI13" s="50">
        <v>0</v>
      </c>
      <c r="AJ13" s="51">
        <v>2</v>
      </c>
      <c r="AK13" s="48">
        <v>3</v>
      </c>
      <c r="AL13" s="51"/>
      <c r="AM13" s="50"/>
      <c r="AN13" s="51">
        <f t="shared" si="5"/>
        <v>5</v>
      </c>
      <c r="AO13" s="52">
        <f t="shared" si="6"/>
        <v>3</v>
      </c>
      <c r="AP13" s="50">
        <f t="shared" si="7"/>
        <v>8</v>
      </c>
      <c r="AQ13" s="53">
        <f>(AN13+AO13)/(Z13+AA13)</f>
        <v>1</v>
      </c>
    </row>
    <row r="14" spans="1:46" x14ac:dyDescent="0.3">
      <c r="A14" s="6"/>
      <c r="B14" s="43"/>
      <c r="C14" s="43"/>
      <c r="D14" s="43"/>
      <c r="E14" s="43"/>
      <c r="F14" s="43"/>
      <c r="G14" s="43"/>
      <c r="H14" s="44"/>
      <c r="I14" s="43"/>
      <c r="J14" s="44"/>
      <c r="K14" s="43"/>
      <c r="L14" s="44"/>
      <c r="M14" s="43"/>
      <c r="N14" s="44">
        <v>4</v>
      </c>
      <c r="O14" s="43">
        <v>0</v>
      </c>
      <c r="P14" s="44"/>
      <c r="Q14" s="43"/>
      <c r="R14" s="44"/>
      <c r="S14" s="43"/>
      <c r="T14" s="44"/>
      <c r="U14" s="43"/>
      <c r="V14" s="44"/>
      <c r="W14" s="43"/>
      <c r="X14" s="44"/>
      <c r="Y14" s="43"/>
      <c r="Z14" s="45">
        <f t="shared" si="0"/>
        <v>4</v>
      </c>
      <c r="AA14" s="43">
        <f t="shared" si="1"/>
        <v>0</v>
      </c>
      <c r="AB14" s="18">
        <f t="shared" si="2"/>
        <v>4</v>
      </c>
      <c r="AD14" s="46"/>
      <c r="AE14" s="47"/>
      <c r="AF14" s="46">
        <f t="shared" si="3"/>
        <v>0</v>
      </c>
      <c r="AG14" s="48">
        <f t="shared" si="4"/>
        <v>0</v>
      </c>
      <c r="AH14" s="49"/>
      <c r="AI14" s="50"/>
      <c r="AJ14" s="51">
        <v>1</v>
      </c>
      <c r="AK14" s="48">
        <v>0</v>
      </c>
      <c r="AL14" s="51"/>
      <c r="AM14" s="50"/>
      <c r="AN14" s="51">
        <f t="shared" si="5"/>
        <v>1</v>
      </c>
      <c r="AO14" s="52">
        <f t="shared" si="6"/>
        <v>0</v>
      </c>
      <c r="AP14" s="50">
        <f t="shared" si="7"/>
        <v>1</v>
      </c>
      <c r="AQ14" s="53">
        <f>(AN14+AO14)/(Z14+AA14)</f>
        <v>0.25</v>
      </c>
    </row>
    <row r="15" spans="1:46" x14ac:dyDescent="0.3">
      <c r="A15" s="6"/>
      <c r="B15" s="43"/>
      <c r="C15" s="43"/>
      <c r="D15" s="43"/>
      <c r="E15" s="43"/>
      <c r="F15" s="43"/>
      <c r="G15" s="43"/>
      <c r="H15" s="44">
        <v>3</v>
      </c>
      <c r="I15" s="43">
        <v>0</v>
      </c>
      <c r="J15" s="44"/>
      <c r="K15" s="43"/>
      <c r="L15" s="44"/>
      <c r="M15" s="43"/>
      <c r="N15" s="44"/>
      <c r="O15" s="43"/>
      <c r="P15" s="44"/>
      <c r="Q15" s="43"/>
      <c r="R15" s="44"/>
      <c r="S15" s="43"/>
      <c r="T15" s="44"/>
      <c r="U15" s="43"/>
      <c r="V15" s="44"/>
      <c r="W15" s="43"/>
      <c r="X15" s="44"/>
      <c r="Y15" s="43"/>
      <c r="Z15" s="45">
        <f t="shared" si="0"/>
        <v>3</v>
      </c>
      <c r="AA15" s="43">
        <f t="shared" si="1"/>
        <v>0</v>
      </c>
      <c r="AB15" s="18">
        <f t="shared" si="2"/>
        <v>3</v>
      </c>
      <c r="AD15" s="46"/>
      <c r="AE15" s="47"/>
      <c r="AF15" s="46">
        <f t="shared" si="3"/>
        <v>3</v>
      </c>
      <c r="AG15" s="48">
        <f t="shared" si="4"/>
        <v>0</v>
      </c>
      <c r="AH15" s="49"/>
      <c r="AI15" s="50"/>
      <c r="AJ15" s="51">
        <v>1</v>
      </c>
      <c r="AK15" s="48">
        <v>0</v>
      </c>
      <c r="AL15" s="51"/>
      <c r="AM15" s="50"/>
      <c r="AN15" s="51">
        <f t="shared" si="5"/>
        <v>4</v>
      </c>
      <c r="AO15" s="52">
        <f t="shared" si="6"/>
        <v>0</v>
      </c>
      <c r="AP15" s="50">
        <f t="shared" si="7"/>
        <v>4</v>
      </c>
      <c r="AQ15" s="53">
        <f>(AN15+AO15)/(Z15+AA15)</f>
        <v>1.3333333333333333</v>
      </c>
    </row>
    <row r="16" spans="1:46" x14ac:dyDescent="0.3">
      <c r="A16" s="6"/>
      <c r="B16" s="43"/>
      <c r="C16" s="43"/>
      <c r="D16" s="43"/>
      <c r="E16" s="43"/>
      <c r="F16" s="43"/>
      <c r="G16" s="43"/>
      <c r="H16" s="44"/>
      <c r="I16" s="43"/>
      <c r="J16" s="44"/>
      <c r="K16" s="43"/>
      <c r="L16" s="44"/>
      <c r="M16" s="43"/>
      <c r="N16" s="44"/>
      <c r="O16" s="43"/>
      <c r="P16" s="44"/>
      <c r="Q16" s="43"/>
      <c r="R16" s="44"/>
      <c r="S16" s="43"/>
      <c r="T16" s="44">
        <v>4</v>
      </c>
      <c r="U16" s="43">
        <v>0</v>
      </c>
      <c r="V16" s="44">
        <v>1</v>
      </c>
      <c r="W16" s="43">
        <v>0</v>
      </c>
      <c r="X16" s="44"/>
      <c r="Y16" s="43"/>
      <c r="Z16" s="45">
        <f t="shared" si="0"/>
        <v>5</v>
      </c>
      <c r="AA16" s="43">
        <f t="shared" si="1"/>
        <v>0</v>
      </c>
      <c r="AB16" s="18">
        <f t="shared" si="2"/>
        <v>5</v>
      </c>
      <c r="AD16" s="46"/>
      <c r="AE16" s="47"/>
      <c r="AF16" s="46">
        <f t="shared" si="3"/>
        <v>0</v>
      </c>
      <c r="AG16" s="48">
        <f t="shared" si="4"/>
        <v>0</v>
      </c>
      <c r="AH16" s="49"/>
      <c r="AI16" s="50"/>
      <c r="AJ16" s="51"/>
      <c r="AK16" s="48"/>
      <c r="AL16" s="51">
        <v>4</v>
      </c>
      <c r="AM16" s="50"/>
      <c r="AN16" s="51">
        <f t="shared" si="5"/>
        <v>4</v>
      </c>
      <c r="AO16" s="52">
        <f t="shared" si="6"/>
        <v>0</v>
      </c>
      <c r="AP16" s="50">
        <f t="shared" si="7"/>
        <v>4</v>
      </c>
      <c r="AQ16" s="53">
        <f>(AN16+AO16)/(Z16+AA16)</f>
        <v>0.8</v>
      </c>
    </row>
    <row r="17" spans="1:43" x14ac:dyDescent="0.3">
      <c r="A17" s="6"/>
      <c r="B17" s="43">
        <v>7</v>
      </c>
      <c r="C17" s="43">
        <v>0</v>
      </c>
      <c r="D17" s="43"/>
      <c r="E17" s="43"/>
      <c r="F17" s="43"/>
      <c r="G17" s="43"/>
      <c r="H17" s="44">
        <v>2</v>
      </c>
      <c r="I17" s="43">
        <v>0</v>
      </c>
      <c r="J17" s="44"/>
      <c r="K17" s="43"/>
      <c r="L17" s="44"/>
      <c r="M17" s="43"/>
      <c r="N17" s="44">
        <v>3</v>
      </c>
      <c r="O17" s="43">
        <v>0</v>
      </c>
      <c r="P17" s="44"/>
      <c r="Q17" s="43"/>
      <c r="R17" s="44"/>
      <c r="S17" s="43"/>
      <c r="T17" s="44"/>
      <c r="U17" s="43"/>
      <c r="V17" s="44"/>
      <c r="W17" s="43"/>
      <c r="X17" s="44"/>
      <c r="Y17" s="43"/>
      <c r="Z17" s="45">
        <f t="shared" si="0"/>
        <v>12</v>
      </c>
      <c r="AA17" s="43">
        <f t="shared" si="1"/>
        <v>0</v>
      </c>
      <c r="AB17" s="18">
        <f t="shared" si="2"/>
        <v>12</v>
      </c>
      <c r="AD17" s="46">
        <v>7</v>
      </c>
      <c r="AE17" s="47">
        <v>0</v>
      </c>
      <c r="AF17" s="46">
        <f t="shared" si="3"/>
        <v>2</v>
      </c>
      <c r="AG17" s="48">
        <f t="shared" si="4"/>
        <v>0</v>
      </c>
      <c r="AH17" s="49">
        <v>0</v>
      </c>
      <c r="AI17" s="50">
        <v>0</v>
      </c>
      <c r="AJ17" s="51">
        <v>1</v>
      </c>
      <c r="AK17" s="48">
        <v>0</v>
      </c>
      <c r="AL17" s="51"/>
      <c r="AM17" s="50"/>
      <c r="AN17" s="51">
        <f t="shared" si="5"/>
        <v>10</v>
      </c>
      <c r="AO17" s="52">
        <f t="shared" si="6"/>
        <v>0</v>
      </c>
      <c r="AP17" s="50">
        <f t="shared" si="7"/>
        <v>10</v>
      </c>
      <c r="AQ17" s="53">
        <f>(AN17+AO17)/(Z17+AA17)</f>
        <v>0.83333333333333337</v>
      </c>
    </row>
    <row r="18" spans="1:43" x14ac:dyDescent="0.3">
      <c r="A18" s="6"/>
      <c r="B18" s="54"/>
      <c r="C18" s="54"/>
      <c r="D18" s="54"/>
      <c r="E18" s="54"/>
      <c r="F18" s="54"/>
      <c r="G18" s="54"/>
      <c r="H18" s="55"/>
      <c r="I18" s="54"/>
      <c r="J18" s="55"/>
      <c r="K18" s="54"/>
      <c r="L18" s="55"/>
      <c r="M18" s="54"/>
      <c r="N18" s="55"/>
      <c r="O18" s="54"/>
      <c r="P18" s="55"/>
      <c r="Q18" s="54"/>
      <c r="R18" s="55"/>
      <c r="S18" s="54"/>
      <c r="T18" s="55"/>
      <c r="U18" s="54"/>
      <c r="V18" s="55"/>
      <c r="W18" s="54"/>
      <c r="X18" s="55"/>
      <c r="Y18" s="54"/>
      <c r="Z18" s="56">
        <f t="shared" si="0"/>
        <v>0</v>
      </c>
      <c r="AA18" s="54">
        <f t="shared" si="1"/>
        <v>0</v>
      </c>
      <c r="AB18" s="18">
        <f t="shared" si="2"/>
        <v>0</v>
      </c>
      <c r="AD18" s="46"/>
      <c r="AE18" s="47"/>
      <c r="AF18" s="46">
        <f t="shared" si="3"/>
        <v>0</v>
      </c>
      <c r="AG18" s="48">
        <f t="shared" si="4"/>
        <v>0</v>
      </c>
      <c r="AH18" s="49"/>
      <c r="AI18" s="50"/>
      <c r="AJ18" s="51"/>
      <c r="AK18" s="48"/>
      <c r="AL18" s="51"/>
      <c r="AM18" s="50"/>
      <c r="AN18" s="51">
        <f t="shared" si="5"/>
        <v>0</v>
      </c>
      <c r="AO18" s="52">
        <f t="shared" si="6"/>
        <v>0</v>
      </c>
      <c r="AP18" s="50">
        <f t="shared" si="7"/>
        <v>0</v>
      </c>
      <c r="AQ18" s="53"/>
    </row>
    <row r="19" spans="1:43" x14ac:dyDescent="0.3">
      <c r="A19" s="6"/>
      <c r="B19" s="54"/>
      <c r="C19" s="54"/>
      <c r="D19" s="54"/>
      <c r="E19" s="54"/>
      <c r="F19" s="54"/>
      <c r="G19" s="54"/>
      <c r="H19" s="55"/>
      <c r="I19" s="54"/>
      <c r="J19" s="55"/>
      <c r="K19" s="54"/>
      <c r="L19" s="55"/>
      <c r="M19" s="54"/>
      <c r="N19" s="55"/>
      <c r="O19" s="54"/>
      <c r="P19" s="55"/>
      <c r="Q19" s="54"/>
      <c r="R19" s="55"/>
      <c r="S19" s="54"/>
      <c r="T19" s="55"/>
      <c r="U19" s="54"/>
      <c r="V19" s="55"/>
      <c r="W19" s="54"/>
      <c r="X19" s="55"/>
      <c r="Y19" s="54"/>
      <c r="Z19" s="56">
        <f t="shared" si="0"/>
        <v>0</v>
      </c>
      <c r="AA19" s="54">
        <f t="shared" si="1"/>
        <v>0</v>
      </c>
      <c r="AB19" s="18">
        <f t="shared" si="2"/>
        <v>0</v>
      </c>
      <c r="AD19" s="46"/>
      <c r="AE19" s="47"/>
      <c r="AF19" s="46">
        <f t="shared" si="3"/>
        <v>0</v>
      </c>
      <c r="AG19" s="48">
        <f t="shared" si="4"/>
        <v>0</v>
      </c>
      <c r="AH19" s="49"/>
      <c r="AI19" s="50"/>
      <c r="AJ19" s="51"/>
      <c r="AK19" s="48"/>
      <c r="AL19" s="51"/>
      <c r="AM19" s="50"/>
      <c r="AN19" s="51">
        <f t="shared" si="5"/>
        <v>0</v>
      </c>
      <c r="AO19" s="52">
        <f t="shared" si="6"/>
        <v>0</v>
      </c>
      <c r="AP19" s="50">
        <f t="shared" si="7"/>
        <v>0</v>
      </c>
      <c r="AQ19" s="53"/>
    </row>
    <row r="20" spans="1:43" x14ac:dyDescent="0.3">
      <c r="A20" s="6"/>
      <c r="B20" s="54"/>
      <c r="C20" s="54"/>
      <c r="D20" s="54"/>
      <c r="E20" s="54"/>
      <c r="F20" s="54"/>
      <c r="G20" s="54"/>
      <c r="H20" s="55"/>
      <c r="I20" s="54"/>
      <c r="J20" s="55"/>
      <c r="K20" s="54"/>
      <c r="L20" s="55"/>
      <c r="M20" s="54"/>
      <c r="N20" s="55"/>
      <c r="O20" s="54"/>
      <c r="P20" s="55"/>
      <c r="Q20" s="54"/>
      <c r="R20" s="55"/>
      <c r="S20" s="54"/>
      <c r="T20" s="55"/>
      <c r="U20" s="54"/>
      <c r="V20" s="55"/>
      <c r="W20" s="54"/>
      <c r="X20" s="55"/>
      <c r="Y20" s="54"/>
      <c r="Z20" s="56">
        <f t="shared" si="0"/>
        <v>0</v>
      </c>
      <c r="AA20" s="54">
        <f t="shared" si="1"/>
        <v>0</v>
      </c>
      <c r="AB20" s="18">
        <f t="shared" si="2"/>
        <v>0</v>
      </c>
      <c r="AD20" s="46"/>
      <c r="AE20" s="47"/>
      <c r="AF20" s="46">
        <f t="shared" si="3"/>
        <v>0</v>
      </c>
      <c r="AG20" s="48">
        <f t="shared" si="4"/>
        <v>0</v>
      </c>
      <c r="AH20" s="49"/>
      <c r="AI20" s="50"/>
      <c r="AJ20" s="51"/>
      <c r="AK20" s="48"/>
      <c r="AL20" s="51"/>
      <c r="AM20" s="50"/>
      <c r="AN20" s="51">
        <f t="shared" si="5"/>
        <v>0</v>
      </c>
      <c r="AO20" s="52">
        <f t="shared" si="6"/>
        <v>0</v>
      </c>
      <c r="AP20" s="50">
        <f t="shared" si="7"/>
        <v>0</v>
      </c>
      <c r="AQ20" s="53"/>
    </row>
    <row r="21" spans="1:43" x14ac:dyDescent="0.3">
      <c r="A21" s="6"/>
      <c r="B21" s="54"/>
      <c r="C21" s="54"/>
      <c r="D21" s="54"/>
      <c r="E21" s="54"/>
      <c r="F21" s="54"/>
      <c r="G21" s="54"/>
      <c r="H21" s="55"/>
      <c r="I21" s="54"/>
      <c r="J21" s="55"/>
      <c r="K21" s="54"/>
      <c r="L21" s="55"/>
      <c r="M21" s="54"/>
      <c r="N21" s="55"/>
      <c r="O21" s="54"/>
      <c r="P21" s="55"/>
      <c r="Q21" s="54"/>
      <c r="R21" s="55"/>
      <c r="S21" s="54"/>
      <c r="T21" s="55"/>
      <c r="U21" s="54"/>
      <c r="V21" s="55"/>
      <c r="W21" s="54"/>
      <c r="X21" s="55"/>
      <c r="Y21" s="54"/>
      <c r="Z21" s="56">
        <f t="shared" si="0"/>
        <v>0</v>
      </c>
      <c r="AA21" s="54">
        <f t="shared" si="1"/>
        <v>0</v>
      </c>
      <c r="AB21" s="18">
        <f t="shared" si="2"/>
        <v>0</v>
      </c>
      <c r="AD21" s="46"/>
      <c r="AE21" s="47"/>
      <c r="AF21" s="46">
        <f t="shared" si="3"/>
        <v>0</v>
      </c>
      <c r="AG21" s="48">
        <f t="shared" si="4"/>
        <v>0</v>
      </c>
      <c r="AH21" s="49"/>
      <c r="AI21" s="50"/>
      <c r="AJ21" s="51"/>
      <c r="AK21" s="48"/>
      <c r="AL21" s="51"/>
      <c r="AM21" s="50"/>
      <c r="AN21" s="51">
        <f t="shared" si="5"/>
        <v>0</v>
      </c>
      <c r="AO21" s="52">
        <f t="shared" si="6"/>
        <v>0</v>
      </c>
      <c r="AP21" s="50">
        <f t="shared" si="7"/>
        <v>0</v>
      </c>
      <c r="AQ21" s="53"/>
    </row>
    <row r="22" spans="1:43" x14ac:dyDescent="0.3">
      <c r="A22" s="6"/>
      <c r="B22" s="54"/>
      <c r="C22" s="54"/>
      <c r="D22" s="54"/>
      <c r="E22" s="54"/>
      <c r="F22" s="54">
        <v>2</v>
      </c>
      <c r="G22" s="54">
        <v>0</v>
      </c>
      <c r="H22" s="55"/>
      <c r="I22" s="54"/>
      <c r="J22" s="55">
        <v>0</v>
      </c>
      <c r="K22" s="54">
        <v>2</v>
      </c>
      <c r="L22" s="55"/>
      <c r="M22" s="54"/>
      <c r="N22" s="55"/>
      <c r="O22" s="54"/>
      <c r="P22" s="55"/>
      <c r="Q22" s="54"/>
      <c r="R22" s="55"/>
      <c r="S22" s="54"/>
      <c r="T22" s="55"/>
      <c r="U22" s="54"/>
      <c r="V22" s="55"/>
      <c r="W22" s="54"/>
      <c r="X22" s="55"/>
      <c r="Y22" s="54"/>
      <c r="Z22" s="56">
        <f t="shared" si="0"/>
        <v>2</v>
      </c>
      <c r="AA22" s="54">
        <f t="shared" si="1"/>
        <v>2</v>
      </c>
      <c r="AB22" s="18">
        <f t="shared" si="2"/>
        <v>4</v>
      </c>
      <c r="AD22" s="46">
        <v>1</v>
      </c>
      <c r="AE22" s="47">
        <v>0</v>
      </c>
      <c r="AF22" s="46">
        <f t="shared" si="3"/>
        <v>1</v>
      </c>
      <c r="AG22" s="48">
        <f t="shared" si="4"/>
        <v>0</v>
      </c>
      <c r="AH22" s="49">
        <v>0</v>
      </c>
      <c r="AI22" s="50">
        <v>1</v>
      </c>
      <c r="AJ22" s="51">
        <v>1</v>
      </c>
      <c r="AK22" s="48">
        <v>1</v>
      </c>
      <c r="AL22" s="51"/>
      <c r="AM22" s="50"/>
      <c r="AN22" s="51">
        <f t="shared" si="5"/>
        <v>3</v>
      </c>
      <c r="AO22" s="52">
        <f t="shared" si="6"/>
        <v>2</v>
      </c>
      <c r="AP22" s="50">
        <f t="shared" si="7"/>
        <v>5</v>
      </c>
      <c r="AQ22" s="53">
        <f>(AN22+AO22)/(Z22+AA22)</f>
        <v>1.25</v>
      </c>
    </row>
    <row r="23" spans="1:43" x14ac:dyDescent="0.3">
      <c r="A23" s="6"/>
      <c r="B23" s="54"/>
      <c r="C23" s="54"/>
      <c r="D23" s="54"/>
      <c r="E23" s="54"/>
      <c r="F23" s="54"/>
      <c r="G23" s="54"/>
      <c r="H23" s="55"/>
      <c r="I23" s="54"/>
      <c r="J23" s="55"/>
      <c r="K23" s="54"/>
      <c r="L23" s="55"/>
      <c r="M23" s="54"/>
      <c r="N23" s="55"/>
      <c r="O23" s="54"/>
      <c r="P23" s="55"/>
      <c r="Q23" s="54"/>
      <c r="R23" s="55"/>
      <c r="S23" s="54"/>
      <c r="T23" s="55"/>
      <c r="U23" s="54"/>
      <c r="V23" s="55"/>
      <c r="W23" s="54"/>
      <c r="X23" s="55"/>
      <c r="Y23" s="54"/>
      <c r="Z23" s="56">
        <f t="shared" si="0"/>
        <v>0</v>
      </c>
      <c r="AA23" s="54">
        <f t="shared" si="1"/>
        <v>0</v>
      </c>
      <c r="AB23" s="18">
        <f t="shared" si="2"/>
        <v>0</v>
      </c>
      <c r="AD23" s="46"/>
      <c r="AE23" s="47"/>
      <c r="AF23" s="46">
        <f t="shared" si="3"/>
        <v>0</v>
      </c>
      <c r="AG23" s="48">
        <f t="shared" si="4"/>
        <v>0</v>
      </c>
      <c r="AH23" s="49"/>
      <c r="AI23" s="50"/>
      <c r="AJ23" s="51"/>
      <c r="AK23" s="48"/>
      <c r="AL23" s="51"/>
      <c r="AM23" s="50"/>
      <c r="AN23" s="51">
        <f t="shared" si="5"/>
        <v>0</v>
      </c>
      <c r="AO23" s="52">
        <f t="shared" si="6"/>
        <v>0</v>
      </c>
      <c r="AP23" s="50">
        <f t="shared" si="7"/>
        <v>0</v>
      </c>
      <c r="AQ23" s="53"/>
    </row>
    <row r="24" spans="1:43" x14ac:dyDescent="0.3">
      <c r="A24" s="6"/>
      <c r="B24" s="54"/>
      <c r="C24" s="54"/>
      <c r="D24" s="54"/>
      <c r="E24" s="54"/>
      <c r="F24" s="54"/>
      <c r="G24" s="54"/>
      <c r="H24" s="55">
        <v>3</v>
      </c>
      <c r="I24" s="54">
        <v>0</v>
      </c>
      <c r="J24" s="55"/>
      <c r="K24" s="54"/>
      <c r="L24" s="55"/>
      <c r="M24" s="54"/>
      <c r="N24" s="55"/>
      <c r="O24" s="54"/>
      <c r="P24" s="55"/>
      <c r="Q24" s="54"/>
      <c r="R24" s="55"/>
      <c r="S24" s="54"/>
      <c r="T24" s="55"/>
      <c r="U24" s="54"/>
      <c r="V24" s="55"/>
      <c r="W24" s="54"/>
      <c r="X24" s="55"/>
      <c r="Y24" s="54"/>
      <c r="Z24" s="56">
        <f t="shared" si="0"/>
        <v>3</v>
      </c>
      <c r="AA24" s="54">
        <f t="shared" si="1"/>
        <v>0</v>
      </c>
      <c r="AB24" s="18">
        <f t="shared" si="2"/>
        <v>3</v>
      </c>
      <c r="AD24" s="46"/>
      <c r="AE24" s="47"/>
      <c r="AF24" s="46">
        <f t="shared" si="3"/>
        <v>3</v>
      </c>
      <c r="AG24" s="48">
        <f t="shared" si="4"/>
        <v>0</v>
      </c>
      <c r="AH24" s="49"/>
      <c r="AI24" s="50"/>
      <c r="AJ24" s="51">
        <v>1</v>
      </c>
      <c r="AK24" s="48">
        <v>0</v>
      </c>
      <c r="AL24" s="51"/>
      <c r="AM24" s="50"/>
      <c r="AN24" s="51">
        <f t="shared" si="5"/>
        <v>4</v>
      </c>
      <c r="AO24" s="52">
        <f t="shared" si="6"/>
        <v>0</v>
      </c>
      <c r="AP24" s="50">
        <f t="shared" si="7"/>
        <v>4</v>
      </c>
      <c r="AQ24" s="53">
        <f>(AN24+AO24)/(Z24+AA24)</f>
        <v>1.3333333333333333</v>
      </c>
    </row>
    <row r="25" spans="1:43" x14ac:dyDescent="0.3">
      <c r="A25" s="6"/>
      <c r="B25" s="54"/>
      <c r="C25" s="54"/>
      <c r="D25" s="54"/>
      <c r="E25" s="54"/>
      <c r="F25" s="54"/>
      <c r="G25" s="54"/>
      <c r="H25" s="55"/>
      <c r="I25" s="54"/>
      <c r="J25" s="55"/>
      <c r="K25" s="54"/>
      <c r="L25" s="55"/>
      <c r="M25" s="54"/>
      <c r="N25" s="55"/>
      <c r="O25" s="54"/>
      <c r="P25" s="55"/>
      <c r="Q25" s="54"/>
      <c r="R25" s="55"/>
      <c r="S25" s="54"/>
      <c r="T25" s="55">
        <v>4</v>
      </c>
      <c r="U25" s="54">
        <v>0</v>
      </c>
      <c r="V25" s="55"/>
      <c r="W25" s="54"/>
      <c r="X25" s="55"/>
      <c r="Y25" s="54"/>
      <c r="Z25" s="56">
        <f t="shared" si="0"/>
        <v>4</v>
      </c>
      <c r="AA25" s="54">
        <f t="shared" si="1"/>
        <v>0</v>
      </c>
      <c r="AB25" s="18">
        <f t="shared" si="2"/>
        <v>4</v>
      </c>
      <c r="AD25" s="46"/>
      <c r="AE25" s="47"/>
      <c r="AF25" s="46">
        <f t="shared" si="3"/>
        <v>0</v>
      </c>
      <c r="AG25" s="48">
        <f t="shared" si="4"/>
        <v>0</v>
      </c>
      <c r="AH25" s="49"/>
      <c r="AI25" s="50"/>
      <c r="AJ25" s="51"/>
      <c r="AK25" s="48"/>
      <c r="AL25" s="51">
        <v>3</v>
      </c>
      <c r="AM25" s="50"/>
      <c r="AN25" s="51">
        <f t="shared" si="5"/>
        <v>3</v>
      </c>
      <c r="AO25" s="52">
        <f t="shared" si="6"/>
        <v>0</v>
      </c>
      <c r="AP25" s="50">
        <f t="shared" si="7"/>
        <v>3</v>
      </c>
      <c r="AQ25" s="53">
        <f>(AN25+AO25)/(Z25+AA25)</f>
        <v>0.75</v>
      </c>
    </row>
    <row r="26" spans="1:43" x14ac:dyDescent="0.3">
      <c r="A26" s="6"/>
      <c r="B26" s="54"/>
      <c r="C26" s="54"/>
      <c r="D26" s="54"/>
      <c r="E26" s="54"/>
      <c r="F26" s="54"/>
      <c r="G26" s="54"/>
      <c r="H26" s="55"/>
      <c r="I26" s="54"/>
      <c r="J26" s="55"/>
      <c r="K26" s="54"/>
      <c r="L26" s="55"/>
      <c r="M26" s="54"/>
      <c r="N26" s="55"/>
      <c r="O26" s="54"/>
      <c r="P26" s="55"/>
      <c r="Q26" s="54"/>
      <c r="R26" s="55"/>
      <c r="S26" s="54"/>
      <c r="T26" s="55"/>
      <c r="U26" s="54"/>
      <c r="V26" s="55"/>
      <c r="W26" s="54"/>
      <c r="X26" s="55"/>
      <c r="Y26" s="54"/>
      <c r="Z26" s="56">
        <f t="shared" si="0"/>
        <v>0</v>
      </c>
      <c r="AA26" s="54">
        <f t="shared" si="1"/>
        <v>0</v>
      </c>
      <c r="AB26" s="18">
        <f t="shared" si="2"/>
        <v>0</v>
      </c>
      <c r="AD26" s="46"/>
      <c r="AE26" s="47"/>
      <c r="AF26" s="46">
        <f t="shared" si="3"/>
        <v>0</v>
      </c>
      <c r="AG26" s="48">
        <f t="shared" si="4"/>
        <v>0</v>
      </c>
      <c r="AH26" s="49"/>
      <c r="AI26" s="50"/>
      <c r="AJ26" s="51"/>
      <c r="AK26" s="48"/>
      <c r="AL26" s="51"/>
      <c r="AM26" s="50"/>
      <c r="AN26" s="51">
        <f t="shared" si="5"/>
        <v>0</v>
      </c>
      <c r="AO26" s="52">
        <f t="shared" si="6"/>
        <v>0</v>
      </c>
      <c r="AP26" s="50">
        <f t="shared" si="7"/>
        <v>0</v>
      </c>
      <c r="AQ26" s="53"/>
    </row>
    <row r="27" spans="1:43" x14ac:dyDescent="0.3">
      <c r="A27" s="6"/>
      <c r="B27" s="54"/>
      <c r="C27" s="54"/>
      <c r="D27" s="54"/>
      <c r="E27" s="54"/>
      <c r="F27" s="54"/>
      <c r="G27" s="54"/>
      <c r="H27" s="55"/>
      <c r="I27" s="54"/>
      <c r="J27" s="55"/>
      <c r="K27" s="54"/>
      <c r="L27" s="55"/>
      <c r="M27" s="54"/>
      <c r="N27" s="55"/>
      <c r="O27" s="54"/>
      <c r="P27" s="55"/>
      <c r="Q27" s="54"/>
      <c r="R27" s="55"/>
      <c r="S27" s="54"/>
      <c r="T27" s="55"/>
      <c r="U27" s="54"/>
      <c r="V27" s="55"/>
      <c r="W27" s="54"/>
      <c r="X27" s="55"/>
      <c r="Y27" s="54"/>
      <c r="Z27" s="45">
        <f t="shared" si="0"/>
        <v>0</v>
      </c>
      <c r="AA27" s="43">
        <f t="shared" si="1"/>
        <v>0</v>
      </c>
      <c r="AB27" s="18">
        <f t="shared" si="2"/>
        <v>0</v>
      </c>
      <c r="AD27" s="46"/>
      <c r="AE27" s="47"/>
      <c r="AF27" s="46">
        <f t="shared" si="3"/>
        <v>0</v>
      </c>
      <c r="AG27" s="48">
        <f t="shared" si="4"/>
        <v>0</v>
      </c>
      <c r="AH27" s="49"/>
      <c r="AI27" s="50"/>
      <c r="AJ27" s="51"/>
      <c r="AK27" s="48"/>
      <c r="AL27" s="51"/>
      <c r="AM27" s="50"/>
      <c r="AN27" s="51">
        <f t="shared" si="5"/>
        <v>0</v>
      </c>
      <c r="AO27" s="52">
        <f t="shared" si="6"/>
        <v>0</v>
      </c>
      <c r="AP27" s="50">
        <f t="shared" si="7"/>
        <v>0</v>
      </c>
      <c r="AQ27" s="53"/>
    </row>
    <row r="28" spans="1:43" x14ac:dyDescent="0.3">
      <c r="A28" s="6"/>
      <c r="B28" s="43"/>
      <c r="C28" s="43"/>
      <c r="D28" s="43">
        <v>3</v>
      </c>
      <c r="E28" s="43">
        <v>0</v>
      </c>
      <c r="F28" s="43">
        <v>3</v>
      </c>
      <c r="G28" s="43">
        <v>0</v>
      </c>
      <c r="H28" s="44">
        <v>9</v>
      </c>
      <c r="I28" s="43">
        <v>3</v>
      </c>
      <c r="J28" s="44">
        <v>2</v>
      </c>
      <c r="K28" s="43">
        <v>6</v>
      </c>
      <c r="L28" s="44">
        <v>18</v>
      </c>
      <c r="M28" s="43">
        <v>10</v>
      </c>
      <c r="N28" s="44">
        <v>9</v>
      </c>
      <c r="O28" s="43">
        <v>10</v>
      </c>
      <c r="P28" s="44">
        <v>1</v>
      </c>
      <c r="Q28" s="43">
        <v>16</v>
      </c>
      <c r="R28" s="44">
        <v>0</v>
      </c>
      <c r="S28" s="43">
        <v>5</v>
      </c>
      <c r="T28" s="44"/>
      <c r="U28" s="43"/>
      <c r="V28" s="44"/>
      <c r="W28" s="43"/>
      <c r="X28" s="44"/>
      <c r="Y28" s="43"/>
      <c r="Z28" s="57">
        <f t="shared" si="0"/>
        <v>45</v>
      </c>
      <c r="AA28" s="58">
        <f t="shared" si="1"/>
        <v>50</v>
      </c>
      <c r="AB28" s="18">
        <f t="shared" si="2"/>
        <v>95</v>
      </c>
      <c r="AD28" s="46">
        <v>12</v>
      </c>
      <c r="AE28" s="47">
        <v>2</v>
      </c>
      <c r="AF28" s="46">
        <f t="shared" si="3"/>
        <v>3</v>
      </c>
      <c r="AG28" s="48">
        <f t="shared" si="4"/>
        <v>1</v>
      </c>
      <c r="AH28" s="49">
        <v>25</v>
      </c>
      <c r="AI28" s="50">
        <v>21</v>
      </c>
      <c r="AJ28" s="51">
        <v>8</v>
      </c>
      <c r="AK28" s="48">
        <v>27</v>
      </c>
      <c r="AL28" s="51"/>
      <c r="AM28" s="50"/>
      <c r="AN28" s="51">
        <f t="shared" si="5"/>
        <v>48</v>
      </c>
      <c r="AO28" s="52">
        <f t="shared" si="6"/>
        <v>51</v>
      </c>
      <c r="AP28" s="50">
        <f t="shared" si="7"/>
        <v>99</v>
      </c>
      <c r="AQ28" s="53">
        <f>(AN28+AO28)/(Z28+AA28)</f>
        <v>1.0421052631578946</v>
      </c>
    </row>
    <row r="29" spans="1:43" x14ac:dyDescent="0.3">
      <c r="A29" s="6"/>
      <c r="B29" s="43"/>
      <c r="C29" s="43"/>
      <c r="D29" s="43"/>
      <c r="E29" s="43"/>
      <c r="F29" s="43"/>
      <c r="G29" s="43"/>
      <c r="H29" s="44">
        <v>9</v>
      </c>
      <c r="I29" s="43">
        <v>0</v>
      </c>
      <c r="J29" s="44">
        <v>8</v>
      </c>
      <c r="K29" s="43">
        <v>6</v>
      </c>
      <c r="L29" s="44">
        <v>12</v>
      </c>
      <c r="M29" s="43">
        <v>6</v>
      </c>
      <c r="N29" s="44"/>
      <c r="O29" s="43"/>
      <c r="P29" s="44">
        <v>12</v>
      </c>
      <c r="Q29" s="43">
        <v>14</v>
      </c>
      <c r="R29" s="44"/>
      <c r="S29" s="43"/>
      <c r="T29" s="44"/>
      <c r="U29" s="43"/>
      <c r="V29" s="44"/>
      <c r="W29" s="43"/>
      <c r="X29" s="44"/>
      <c r="Y29" s="43"/>
      <c r="Z29" s="45">
        <f t="shared" si="0"/>
        <v>41</v>
      </c>
      <c r="AA29" s="43">
        <f t="shared" si="1"/>
        <v>26</v>
      </c>
      <c r="AB29" s="18">
        <f t="shared" si="2"/>
        <v>67</v>
      </c>
      <c r="AD29" s="46">
        <v>7</v>
      </c>
      <c r="AE29" s="47">
        <v>0</v>
      </c>
      <c r="AF29" s="46">
        <f t="shared" si="3"/>
        <v>2</v>
      </c>
      <c r="AG29" s="48">
        <f t="shared" si="4"/>
        <v>0</v>
      </c>
      <c r="AH29" s="49">
        <v>17</v>
      </c>
      <c r="AI29" s="50">
        <v>9</v>
      </c>
      <c r="AJ29" s="51">
        <v>17</v>
      </c>
      <c r="AK29" s="48">
        <v>17</v>
      </c>
      <c r="AL29" s="51"/>
      <c r="AM29" s="50"/>
      <c r="AN29" s="51">
        <f t="shared" si="5"/>
        <v>43</v>
      </c>
      <c r="AO29" s="52">
        <f t="shared" si="6"/>
        <v>26</v>
      </c>
      <c r="AP29" s="50">
        <f t="shared" si="7"/>
        <v>69</v>
      </c>
      <c r="AQ29" s="53">
        <f>(AN29+AO29)/(Z29+AA29)</f>
        <v>1.0298507462686568</v>
      </c>
    </row>
    <row r="30" spans="1:43" x14ac:dyDescent="0.3">
      <c r="A30" s="6"/>
      <c r="B30" s="43">
        <v>6</v>
      </c>
      <c r="C30" s="43">
        <v>0</v>
      </c>
      <c r="D30" s="43">
        <v>2</v>
      </c>
      <c r="E30" s="43">
        <v>0</v>
      </c>
      <c r="F30" s="43">
        <v>1</v>
      </c>
      <c r="G30" s="43">
        <v>2</v>
      </c>
      <c r="H30" s="44">
        <v>7</v>
      </c>
      <c r="I30" s="43">
        <v>4</v>
      </c>
      <c r="J30" s="44">
        <v>6</v>
      </c>
      <c r="K30" s="43">
        <v>4</v>
      </c>
      <c r="L30" s="44">
        <v>22</v>
      </c>
      <c r="M30" s="43">
        <v>5</v>
      </c>
      <c r="N30" s="44">
        <v>5</v>
      </c>
      <c r="O30" s="43">
        <v>0</v>
      </c>
      <c r="P30" s="44"/>
      <c r="Q30" s="43"/>
      <c r="R30" s="44"/>
      <c r="S30" s="43"/>
      <c r="T30" s="44">
        <v>17</v>
      </c>
      <c r="U30" s="43">
        <v>0</v>
      </c>
      <c r="V30" s="44"/>
      <c r="W30" s="43"/>
      <c r="X30" s="44"/>
      <c r="Y30" s="43"/>
      <c r="Z30" s="45">
        <f t="shared" si="0"/>
        <v>66</v>
      </c>
      <c r="AA30" s="43">
        <f t="shared" si="1"/>
        <v>15</v>
      </c>
      <c r="AB30" s="18">
        <f t="shared" si="2"/>
        <v>81</v>
      </c>
      <c r="AD30" s="46">
        <v>29</v>
      </c>
      <c r="AE30" s="47">
        <v>8</v>
      </c>
      <c r="AF30" s="46">
        <f t="shared" si="3"/>
        <v>-13</v>
      </c>
      <c r="AG30" s="48">
        <f t="shared" si="4"/>
        <v>-2</v>
      </c>
      <c r="AH30" s="49">
        <v>12</v>
      </c>
      <c r="AI30" s="50">
        <v>4</v>
      </c>
      <c r="AJ30" s="51">
        <v>8</v>
      </c>
      <c r="AK30" s="48">
        <v>3</v>
      </c>
      <c r="AL30" s="51">
        <v>16</v>
      </c>
      <c r="AM30" s="50"/>
      <c r="AN30" s="51">
        <f t="shared" si="5"/>
        <v>52</v>
      </c>
      <c r="AO30" s="52">
        <f t="shared" si="6"/>
        <v>13</v>
      </c>
      <c r="AP30" s="50">
        <f t="shared" si="7"/>
        <v>65</v>
      </c>
      <c r="AQ30" s="53">
        <f>(AN30+AO30)/(Z30+AA30)</f>
        <v>0.80246913580246915</v>
      </c>
    </row>
    <row r="31" spans="1:43" x14ac:dyDescent="0.3">
      <c r="A31" s="6"/>
      <c r="B31" s="43"/>
      <c r="C31" s="43"/>
      <c r="D31" s="43"/>
      <c r="E31" s="43"/>
      <c r="F31" s="43"/>
      <c r="G31" s="43"/>
      <c r="H31" s="44"/>
      <c r="I31" s="43"/>
      <c r="J31" s="44"/>
      <c r="K31" s="43"/>
      <c r="L31" s="44"/>
      <c r="M31" s="43"/>
      <c r="N31" s="44"/>
      <c r="O31" s="43"/>
      <c r="P31" s="44"/>
      <c r="Q31" s="43"/>
      <c r="R31" s="44">
        <v>4</v>
      </c>
      <c r="S31" s="43">
        <v>0</v>
      </c>
      <c r="T31" s="44"/>
      <c r="U31" s="43"/>
      <c r="V31" s="44"/>
      <c r="W31" s="43"/>
      <c r="X31" s="44"/>
      <c r="Y31" s="43"/>
      <c r="Z31" s="45">
        <f t="shared" si="0"/>
        <v>4</v>
      </c>
      <c r="AA31" s="43">
        <f t="shared" si="1"/>
        <v>0</v>
      </c>
      <c r="AB31" s="18">
        <f t="shared" si="2"/>
        <v>4</v>
      </c>
      <c r="AD31" s="46"/>
      <c r="AE31" s="47"/>
      <c r="AF31" s="46">
        <f t="shared" si="3"/>
        <v>0</v>
      </c>
      <c r="AG31" s="48">
        <f t="shared" si="4"/>
        <v>0</v>
      </c>
      <c r="AH31" s="49"/>
      <c r="AI31" s="50"/>
      <c r="AJ31" s="51">
        <v>4</v>
      </c>
      <c r="AK31" s="48">
        <v>0</v>
      </c>
      <c r="AL31" s="51"/>
      <c r="AM31" s="50"/>
      <c r="AN31" s="51">
        <f t="shared" si="5"/>
        <v>4</v>
      </c>
      <c r="AO31" s="52">
        <f t="shared" si="6"/>
        <v>0</v>
      </c>
      <c r="AP31" s="50">
        <f t="shared" si="7"/>
        <v>4</v>
      </c>
      <c r="AQ31" s="53">
        <f>(AN31+AO31)/(Z31+AA31)</f>
        <v>1</v>
      </c>
    </row>
    <row r="32" spans="1:43" x14ac:dyDescent="0.3">
      <c r="A32" s="6"/>
      <c r="B32" s="43"/>
      <c r="C32" s="43"/>
      <c r="D32" s="43"/>
      <c r="E32" s="43"/>
      <c r="F32" s="43"/>
      <c r="G32" s="43"/>
      <c r="H32" s="44"/>
      <c r="I32" s="43"/>
      <c r="J32" s="44"/>
      <c r="K32" s="43"/>
      <c r="L32" s="44"/>
      <c r="M32" s="43"/>
      <c r="N32" s="44"/>
      <c r="O32" s="43"/>
      <c r="P32" s="44"/>
      <c r="Q32" s="43"/>
      <c r="R32" s="44"/>
      <c r="S32" s="43"/>
      <c r="T32" s="44"/>
      <c r="U32" s="43"/>
      <c r="V32" s="44"/>
      <c r="W32" s="43"/>
      <c r="X32" s="44"/>
      <c r="Y32" s="43"/>
      <c r="Z32" s="45">
        <f t="shared" si="0"/>
        <v>0</v>
      </c>
      <c r="AA32" s="43">
        <f t="shared" si="1"/>
        <v>0</v>
      </c>
      <c r="AB32" s="18">
        <f t="shared" si="2"/>
        <v>0</v>
      </c>
      <c r="AD32" s="46"/>
      <c r="AE32" s="47"/>
      <c r="AF32" s="46">
        <f t="shared" si="3"/>
        <v>0</v>
      </c>
      <c r="AG32" s="48">
        <f t="shared" si="4"/>
        <v>0</v>
      </c>
      <c r="AH32" s="49"/>
      <c r="AI32" s="50"/>
      <c r="AJ32" s="51"/>
      <c r="AK32" s="48"/>
      <c r="AL32" s="51"/>
      <c r="AM32" s="50"/>
      <c r="AN32" s="51">
        <f t="shared" si="5"/>
        <v>0</v>
      </c>
      <c r="AO32" s="52">
        <f t="shared" si="6"/>
        <v>0</v>
      </c>
      <c r="AP32" s="50">
        <f t="shared" si="7"/>
        <v>0</v>
      </c>
      <c r="AQ32" s="53"/>
    </row>
    <row r="33" spans="1:43" x14ac:dyDescent="0.3">
      <c r="A33" s="6"/>
      <c r="B33" s="43"/>
      <c r="C33" s="43"/>
      <c r="D33" s="43"/>
      <c r="E33" s="43"/>
      <c r="F33" s="43">
        <v>6</v>
      </c>
      <c r="G33" s="43">
        <v>6</v>
      </c>
      <c r="H33" s="44">
        <v>9</v>
      </c>
      <c r="I33" s="43">
        <v>2</v>
      </c>
      <c r="J33" s="44"/>
      <c r="K33" s="43"/>
      <c r="L33" s="44">
        <v>4</v>
      </c>
      <c r="M33" s="43">
        <v>9</v>
      </c>
      <c r="N33" s="44">
        <v>3</v>
      </c>
      <c r="O33" s="43">
        <v>6</v>
      </c>
      <c r="P33" s="44"/>
      <c r="Q33" s="43"/>
      <c r="R33" s="44"/>
      <c r="S33" s="43"/>
      <c r="T33" s="44"/>
      <c r="U33" s="43"/>
      <c r="V33" s="44"/>
      <c r="W33" s="43"/>
      <c r="X33" s="44"/>
      <c r="Y33" s="43"/>
      <c r="Z33" s="45">
        <f t="shared" si="0"/>
        <v>22</v>
      </c>
      <c r="AA33" s="43">
        <f t="shared" si="1"/>
        <v>23</v>
      </c>
      <c r="AB33" s="18">
        <f t="shared" si="2"/>
        <v>45</v>
      </c>
      <c r="AD33" s="46">
        <v>12</v>
      </c>
      <c r="AE33" s="47">
        <v>6</v>
      </c>
      <c r="AF33" s="46">
        <f t="shared" si="3"/>
        <v>3</v>
      </c>
      <c r="AG33" s="48">
        <f t="shared" si="4"/>
        <v>2</v>
      </c>
      <c r="AH33" s="49">
        <v>8</v>
      </c>
      <c r="AI33" s="50">
        <v>8</v>
      </c>
      <c r="AJ33" s="51">
        <v>2</v>
      </c>
      <c r="AK33" s="48">
        <v>3</v>
      </c>
      <c r="AL33" s="51"/>
      <c r="AM33" s="50"/>
      <c r="AN33" s="51">
        <f t="shared" si="5"/>
        <v>25</v>
      </c>
      <c r="AO33" s="52">
        <f t="shared" si="6"/>
        <v>19</v>
      </c>
      <c r="AP33" s="50">
        <f t="shared" si="7"/>
        <v>44</v>
      </c>
      <c r="AQ33" s="53">
        <f>(AN33+AO33)/(Z33+AA33)</f>
        <v>0.97777777777777775</v>
      </c>
    </row>
    <row r="34" spans="1:43" x14ac:dyDescent="0.3">
      <c r="A34" s="6"/>
      <c r="B34" s="43"/>
      <c r="C34" s="43"/>
      <c r="D34" s="43"/>
      <c r="E34" s="43"/>
      <c r="F34" s="43"/>
      <c r="G34" s="43"/>
      <c r="H34" s="44"/>
      <c r="I34" s="43"/>
      <c r="J34" s="44"/>
      <c r="K34" s="43"/>
      <c r="L34" s="44"/>
      <c r="M34" s="43"/>
      <c r="N34" s="44">
        <v>7</v>
      </c>
      <c r="O34" s="43">
        <v>9</v>
      </c>
      <c r="P34" s="44">
        <v>2</v>
      </c>
      <c r="Q34" s="43">
        <v>16</v>
      </c>
      <c r="R34" s="44"/>
      <c r="S34" s="43"/>
      <c r="T34" s="44"/>
      <c r="U34" s="43"/>
      <c r="V34" s="44"/>
      <c r="W34" s="43"/>
      <c r="X34" s="44"/>
      <c r="Y34" s="43"/>
      <c r="Z34" s="45">
        <f t="shared" si="0"/>
        <v>9</v>
      </c>
      <c r="AA34" s="43">
        <f t="shared" si="1"/>
        <v>25</v>
      </c>
      <c r="AB34" s="18">
        <f t="shared" si="2"/>
        <v>34</v>
      </c>
      <c r="AD34" s="46"/>
      <c r="AE34" s="47"/>
      <c r="AF34" s="46">
        <f t="shared" si="3"/>
        <v>0</v>
      </c>
      <c r="AG34" s="48">
        <f t="shared" si="4"/>
        <v>0</v>
      </c>
      <c r="AH34" s="49">
        <v>5</v>
      </c>
      <c r="AI34" s="50">
        <v>7</v>
      </c>
      <c r="AJ34" s="51">
        <v>4</v>
      </c>
      <c r="AK34" s="48">
        <v>18</v>
      </c>
      <c r="AL34" s="51"/>
      <c r="AM34" s="50"/>
      <c r="AN34" s="51">
        <f t="shared" si="5"/>
        <v>9</v>
      </c>
      <c r="AO34" s="52">
        <f t="shared" si="6"/>
        <v>25</v>
      </c>
      <c r="AP34" s="50">
        <f t="shared" si="7"/>
        <v>34</v>
      </c>
      <c r="AQ34" s="53">
        <f>(AN34+AO34)/(Z34+AA34)</f>
        <v>1</v>
      </c>
    </row>
    <row r="35" spans="1:43" x14ac:dyDescent="0.3">
      <c r="A35" s="6"/>
      <c r="B35" s="43"/>
      <c r="C35" s="43"/>
      <c r="D35" s="43"/>
      <c r="E35" s="43"/>
      <c r="F35" s="43"/>
      <c r="G35" s="43"/>
      <c r="H35" s="44">
        <v>5</v>
      </c>
      <c r="I35" s="43">
        <v>0</v>
      </c>
      <c r="J35" s="44">
        <v>3</v>
      </c>
      <c r="K35" s="43">
        <v>4</v>
      </c>
      <c r="L35" s="44"/>
      <c r="M35" s="43"/>
      <c r="N35" s="44"/>
      <c r="O35" s="43"/>
      <c r="P35" s="44">
        <v>4</v>
      </c>
      <c r="Q35" s="43">
        <v>7</v>
      </c>
      <c r="R35" s="44"/>
      <c r="S35" s="43"/>
      <c r="T35" s="44"/>
      <c r="U35" s="43"/>
      <c r="V35" s="44"/>
      <c r="W35" s="43"/>
      <c r="X35" s="44"/>
      <c r="Y35" s="43"/>
      <c r="Z35" s="45">
        <f t="shared" si="0"/>
        <v>12</v>
      </c>
      <c r="AA35" s="43">
        <f t="shared" si="1"/>
        <v>11</v>
      </c>
      <c r="AB35" s="18">
        <f t="shared" si="2"/>
        <v>23</v>
      </c>
      <c r="AD35" s="46">
        <v>3</v>
      </c>
      <c r="AE35" s="47">
        <v>3</v>
      </c>
      <c r="AF35" s="46">
        <f t="shared" si="3"/>
        <v>2</v>
      </c>
      <c r="AG35" s="48">
        <f t="shared" si="4"/>
        <v>-3</v>
      </c>
      <c r="AH35" s="49">
        <v>4</v>
      </c>
      <c r="AI35" s="50">
        <v>0</v>
      </c>
      <c r="AJ35" s="51">
        <v>5</v>
      </c>
      <c r="AK35" s="48">
        <v>8</v>
      </c>
      <c r="AL35" s="51"/>
      <c r="AM35" s="50"/>
      <c r="AN35" s="51">
        <f t="shared" si="5"/>
        <v>14</v>
      </c>
      <c r="AO35" s="52">
        <f t="shared" si="6"/>
        <v>8</v>
      </c>
      <c r="AP35" s="50">
        <f t="shared" si="7"/>
        <v>22</v>
      </c>
      <c r="AQ35" s="53">
        <f>(AN35+AO35)/(Z35+AA35)</f>
        <v>0.95652173913043481</v>
      </c>
    </row>
    <row r="36" spans="1:43" x14ac:dyDescent="0.3">
      <c r="A36" s="6"/>
      <c r="B36" s="43"/>
      <c r="C36" s="43"/>
      <c r="D36" s="43"/>
      <c r="E36" s="43"/>
      <c r="F36" s="43"/>
      <c r="G36" s="43"/>
      <c r="H36" s="44"/>
      <c r="I36" s="43"/>
      <c r="J36" s="44"/>
      <c r="K36" s="43"/>
      <c r="L36" s="44"/>
      <c r="M36" s="43"/>
      <c r="N36" s="44"/>
      <c r="O36" s="43"/>
      <c r="P36" s="44"/>
      <c r="Q36" s="43"/>
      <c r="R36" s="44"/>
      <c r="S36" s="43"/>
      <c r="T36" s="44"/>
      <c r="U36" s="43"/>
      <c r="V36" s="44"/>
      <c r="W36" s="43"/>
      <c r="X36" s="44"/>
      <c r="Y36" s="43"/>
      <c r="Z36" s="45">
        <f t="shared" si="0"/>
        <v>0</v>
      </c>
      <c r="AA36" s="43">
        <f t="shared" si="1"/>
        <v>0</v>
      </c>
      <c r="AB36" s="18">
        <f t="shared" ref="AB36:AB67" si="8">SUM(Z36:AA36)</f>
        <v>0</v>
      </c>
      <c r="AD36" s="46"/>
      <c r="AE36" s="47"/>
      <c r="AF36" s="46">
        <f t="shared" si="3"/>
        <v>0</v>
      </c>
      <c r="AG36" s="48">
        <f t="shared" si="4"/>
        <v>0</v>
      </c>
      <c r="AH36" s="49"/>
      <c r="AI36" s="50"/>
      <c r="AJ36" s="51"/>
      <c r="AK36" s="48"/>
      <c r="AL36" s="51"/>
      <c r="AM36" s="50"/>
      <c r="AN36" s="51">
        <f t="shared" ref="AN36:AN53" si="9">SUM(AD36,AF36,AH36,AJ36,AL36)</f>
        <v>0</v>
      </c>
      <c r="AO36" s="52">
        <f t="shared" ref="AO36:AO53" si="10">SUM(AE36,AG36,AI36,AK36,AM36)</f>
        <v>0</v>
      </c>
      <c r="AP36" s="50">
        <f t="shared" ref="AP36:AP67" si="11">(AN36+AO36)</f>
        <v>0</v>
      </c>
      <c r="AQ36" s="53"/>
    </row>
    <row r="37" spans="1:43" x14ac:dyDescent="0.3">
      <c r="A37" s="6"/>
      <c r="B37" s="43"/>
      <c r="C37" s="43"/>
      <c r="D37" s="43"/>
      <c r="E37" s="43"/>
      <c r="F37" s="43"/>
      <c r="G37" s="43"/>
      <c r="H37" s="44">
        <v>2</v>
      </c>
      <c r="I37" s="43">
        <v>3</v>
      </c>
      <c r="J37" s="44">
        <v>0</v>
      </c>
      <c r="K37" s="43">
        <v>5</v>
      </c>
      <c r="L37" s="44"/>
      <c r="M37" s="43"/>
      <c r="N37" s="44">
        <v>13</v>
      </c>
      <c r="O37" s="43">
        <v>10</v>
      </c>
      <c r="P37" s="44">
        <v>0</v>
      </c>
      <c r="Q37" s="43">
        <v>5</v>
      </c>
      <c r="R37" s="44"/>
      <c r="S37" s="43"/>
      <c r="T37" s="44"/>
      <c r="U37" s="43"/>
      <c r="V37" s="44"/>
      <c r="W37" s="43"/>
      <c r="X37" s="44"/>
      <c r="Y37" s="43"/>
      <c r="Z37" s="45">
        <f t="shared" si="0"/>
        <v>15</v>
      </c>
      <c r="AA37" s="43">
        <f t="shared" si="1"/>
        <v>23</v>
      </c>
      <c r="AB37" s="18">
        <f t="shared" si="8"/>
        <v>38</v>
      </c>
      <c r="AD37" s="46">
        <v>1</v>
      </c>
      <c r="AE37" s="47">
        <v>2</v>
      </c>
      <c r="AF37" s="46">
        <f t="shared" si="3"/>
        <v>1</v>
      </c>
      <c r="AG37" s="48">
        <f t="shared" si="4"/>
        <v>1</v>
      </c>
      <c r="AH37" s="49">
        <v>11</v>
      </c>
      <c r="AI37" s="50">
        <v>12</v>
      </c>
      <c r="AJ37" s="51">
        <v>3</v>
      </c>
      <c r="AK37" s="48">
        <v>9</v>
      </c>
      <c r="AL37" s="51"/>
      <c r="AM37" s="50"/>
      <c r="AN37" s="51">
        <f t="shared" si="9"/>
        <v>16</v>
      </c>
      <c r="AO37" s="52">
        <f t="shared" si="10"/>
        <v>24</v>
      </c>
      <c r="AP37" s="50">
        <f t="shared" si="11"/>
        <v>40</v>
      </c>
      <c r="AQ37" s="53">
        <f t="shared" ref="AQ37:AQ42" si="12">(AN37+AO37)/(Z37+AA37)</f>
        <v>1.0526315789473684</v>
      </c>
    </row>
    <row r="38" spans="1:43" x14ac:dyDescent="0.3">
      <c r="A38" s="6"/>
      <c r="B38" s="43"/>
      <c r="C38" s="43"/>
      <c r="D38" s="43"/>
      <c r="E38" s="43"/>
      <c r="F38" s="43"/>
      <c r="G38" s="43"/>
      <c r="H38" s="44">
        <v>2</v>
      </c>
      <c r="I38" s="43">
        <v>4</v>
      </c>
      <c r="J38" s="44">
        <v>0</v>
      </c>
      <c r="K38" s="43">
        <v>5</v>
      </c>
      <c r="L38" s="44">
        <v>3</v>
      </c>
      <c r="M38" s="43">
        <v>0</v>
      </c>
      <c r="N38" s="44">
        <v>11</v>
      </c>
      <c r="O38" s="43">
        <v>5</v>
      </c>
      <c r="P38" s="44">
        <v>2</v>
      </c>
      <c r="Q38" s="43">
        <v>25</v>
      </c>
      <c r="R38" s="44"/>
      <c r="S38" s="43"/>
      <c r="T38" s="44"/>
      <c r="U38" s="43"/>
      <c r="V38" s="44"/>
      <c r="W38" s="43"/>
      <c r="X38" s="44"/>
      <c r="Y38" s="43"/>
      <c r="Z38" s="45">
        <f t="shared" si="0"/>
        <v>18</v>
      </c>
      <c r="AA38" s="43">
        <f t="shared" si="1"/>
        <v>39</v>
      </c>
      <c r="AB38" s="18">
        <f t="shared" si="8"/>
        <v>57</v>
      </c>
      <c r="AD38" s="46">
        <v>1</v>
      </c>
      <c r="AE38" s="47">
        <v>3</v>
      </c>
      <c r="AF38" s="46">
        <f t="shared" si="3"/>
        <v>1</v>
      </c>
      <c r="AG38" s="48">
        <f t="shared" si="4"/>
        <v>1</v>
      </c>
      <c r="AH38" s="49">
        <v>12</v>
      </c>
      <c r="AI38" s="50">
        <v>8</v>
      </c>
      <c r="AJ38" s="51">
        <v>5</v>
      </c>
      <c r="AK38" s="48">
        <v>28</v>
      </c>
      <c r="AL38" s="51"/>
      <c r="AM38" s="50"/>
      <c r="AN38" s="51">
        <f t="shared" si="9"/>
        <v>19</v>
      </c>
      <c r="AO38" s="52">
        <f t="shared" si="10"/>
        <v>40</v>
      </c>
      <c r="AP38" s="50">
        <f t="shared" si="11"/>
        <v>59</v>
      </c>
      <c r="AQ38" s="53">
        <f t="shared" si="12"/>
        <v>1.0350877192982457</v>
      </c>
    </row>
    <row r="39" spans="1:43" x14ac:dyDescent="0.3">
      <c r="A39" s="6"/>
      <c r="B39" s="43"/>
      <c r="C39" s="43"/>
      <c r="D39" s="43"/>
      <c r="E39" s="43"/>
      <c r="F39" s="43"/>
      <c r="G39" s="43"/>
      <c r="H39" s="44">
        <v>0</v>
      </c>
      <c r="I39" s="43">
        <v>4</v>
      </c>
      <c r="J39" s="44"/>
      <c r="K39" s="43"/>
      <c r="L39" s="44"/>
      <c r="M39" s="43"/>
      <c r="N39" s="44">
        <v>5</v>
      </c>
      <c r="O39" s="43">
        <v>0</v>
      </c>
      <c r="P39" s="44">
        <v>3</v>
      </c>
      <c r="Q39" s="43">
        <v>13</v>
      </c>
      <c r="R39" s="44"/>
      <c r="S39" s="43"/>
      <c r="T39" s="44"/>
      <c r="U39" s="43"/>
      <c r="V39" s="44"/>
      <c r="W39" s="43"/>
      <c r="X39" s="44"/>
      <c r="Y39" s="43"/>
      <c r="Z39" s="45">
        <f t="shared" si="0"/>
        <v>8</v>
      </c>
      <c r="AA39" s="43">
        <f t="shared" si="1"/>
        <v>17</v>
      </c>
      <c r="AB39" s="18">
        <f t="shared" si="8"/>
        <v>25</v>
      </c>
      <c r="AD39" s="46">
        <v>0</v>
      </c>
      <c r="AE39" s="47">
        <v>3</v>
      </c>
      <c r="AF39" s="46">
        <f t="shared" si="3"/>
        <v>0</v>
      </c>
      <c r="AG39" s="48">
        <f t="shared" si="4"/>
        <v>1</v>
      </c>
      <c r="AH39" s="49">
        <v>1</v>
      </c>
      <c r="AI39" s="50">
        <v>0</v>
      </c>
      <c r="AJ39" s="51">
        <v>4</v>
      </c>
      <c r="AK39" s="48">
        <v>14</v>
      </c>
      <c r="AL39" s="51"/>
      <c r="AM39" s="50"/>
      <c r="AN39" s="51">
        <f t="shared" si="9"/>
        <v>5</v>
      </c>
      <c r="AO39" s="52">
        <f t="shared" si="10"/>
        <v>18</v>
      </c>
      <c r="AP39" s="50">
        <f t="shared" si="11"/>
        <v>23</v>
      </c>
      <c r="AQ39" s="53">
        <f t="shared" si="12"/>
        <v>0.92</v>
      </c>
    </row>
    <row r="40" spans="1:43" x14ac:dyDescent="0.3">
      <c r="A40" s="6"/>
      <c r="B40" s="43"/>
      <c r="C40" s="43"/>
      <c r="D40" s="43"/>
      <c r="E40" s="43"/>
      <c r="F40" s="43"/>
      <c r="G40" s="43"/>
      <c r="H40" s="44">
        <v>9</v>
      </c>
      <c r="I40" s="43">
        <v>0</v>
      </c>
      <c r="J40" s="44"/>
      <c r="K40" s="43"/>
      <c r="L40" s="44">
        <v>4</v>
      </c>
      <c r="M40" s="43">
        <v>11</v>
      </c>
      <c r="N40" s="44">
        <v>11</v>
      </c>
      <c r="O40" s="43">
        <v>12</v>
      </c>
      <c r="P40" s="44">
        <v>1</v>
      </c>
      <c r="Q40" s="43">
        <v>42</v>
      </c>
      <c r="R40" s="44"/>
      <c r="S40" s="43"/>
      <c r="T40" s="44"/>
      <c r="U40" s="43"/>
      <c r="V40" s="44"/>
      <c r="W40" s="43"/>
      <c r="X40" s="44"/>
      <c r="Y40" s="43"/>
      <c r="Z40" s="45">
        <f t="shared" si="0"/>
        <v>25</v>
      </c>
      <c r="AA40" s="43">
        <f t="shared" si="1"/>
        <v>65</v>
      </c>
      <c r="AB40" s="18">
        <f t="shared" si="8"/>
        <v>90</v>
      </c>
      <c r="AD40" s="46">
        <v>7</v>
      </c>
      <c r="AE40" s="47">
        <v>0</v>
      </c>
      <c r="AF40" s="46">
        <f t="shared" si="3"/>
        <v>2</v>
      </c>
      <c r="AG40" s="48">
        <f t="shared" si="4"/>
        <v>0</v>
      </c>
      <c r="AH40" s="49">
        <v>13</v>
      </c>
      <c r="AI40" s="50">
        <v>18</v>
      </c>
      <c r="AJ40" s="51">
        <v>5</v>
      </c>
      <c r="AK40" s="48">
        <v>47</v>
      </c>
      <c r="AL40" s="51"/>
      <c r="AM40" s="50"/>
      <c r="AN40" s="51">
        <f t="shared" si="9"/>
        <v>27</v>
      </c>
      <c r="AO40" s="52">
        <f t="shared" si="10"/>
        <v>65</v>
      </c>
      <c r="AP40" s="50">
        <f t="shared" si="11"/>
        <v>92</v>
      </c>
      <c r="AQ40" s="53">
        <f t="shared" si="12"/>
        <v>1.0222222222222221</v>
      </c>
    </row>
    <row r="41" spans="1:43" x14ac:dyDescent="0.3">
      <c r="A41" s="6"/>
      <c r="B41" s="43"/>
      <c r="C41" s="43"/>
      <c r="D41" s="43">
        <v>2</v>
      </c>
      <c r="E41" s="43">
        <v>0</v>
      </c>
      <c r="F41" s="43">
        <v>2</v>
      </c>
      <c r="G41" s="43">
        <v>0</v>
      </c>
      <c r="H41" s="44"/>
      <c r="I41" s="43"/>
      <c r="J41" s="44">
        <v>2</v>
      </c>
      <c r="K41" s="43">
        <v>0</v>
      </c>
      <c r="L41" s="44">
        <v>6</v>
      </c>
      <c r="M41" s="43">
        <v>0</v>
      </c>
      <c r="N41" s="44"/>
      <c r="O41" s="43"/>
      <c r="P41" s="44"/>
      <c r="Q41" s="43"/>
      <c r="R41" s="44"/>
      <c r="S41" s="43"/>
      <c r="T41" s="44"/>
      <c r="U41" s="43"/>
      <c r="V41" s="44"/>
      <c r="W41" s="43"/>
      <c r="X41" s="44"/>
      <c r="Y41" s="43"/>
      <c r="Z41" s="45">
        <f t="shared" si="0"/>
        <v>12</v>
      </c>
      <c r="AA41" s="43">
        <f t="shared" si="1"/>
        <v>0</v>
      </c>
      <c r="AB41" s="18">
        <f t="shared" si="8"/>
        <v>12</v>
      </c>
      <c r="AD41" s="46">
        <v>3</v>
      </c>
      <c r="AE41" s="47">
        <v>0</v>
      </c>
      <c r="AF41" s="46">
        <f t="shared" si="3"/>
        <v>1</v>
      </c>
      <c r="AG41" s="48">
        <f t="shared" si="4"/>
        <v>0</v>
      </c>
      <c r="AH41" s="49">
        <v>7</v>
      </c>
      <c r="AI41" s="50">
        <v>0</v>
      </c>
      <c r="AJ41" s="51">
        <v>2</v>
      </c>
      <c r="AK41" s="48">
        <v>0</v>
      </c>
      <c r="AL41" s="51"/>
      <c r="AM41" s="50"/>
      <c r="AN41" s="51">
        <f t="shared" si="9"/>
        <v>13</v>
      </c>
      <c r="AO41" s="52">
        <f t="shared" si="10"/>
        <v>0</v>
      </c>
      <c r="AP41" s="50">
        <f t="shared" si="11"/>
        <v>13</v>
      </c>
      <c r="AQ41" s="53">
        <f t="shared" si="12"/>
        <v>1.0833333333333333</v>
      </c>
    </row>
    <row r="42" spans="1:43" x14ac:dyDescent="0.3">
      <c r="A42" s="6"/>
      <c r="B42" s="43"/>
      <c r="C42" s="43"/>
      <c r="D42" s="43"/>
      <c r="E42" s="43"/>
      <c r="F42" s="43"/>
      <c r="G42" s="43"/>
      <c r="H42" s="44"/>
      <c r="I42" s="43"/>
      <c r="J42" s="44"/>
      <c r="K42" s="43"/>
      <c r="L42" s="44"/>
      <c r="M42" s="43"/>
      <c r="N42" s="44">
        <v>4</v>
      </c>
      <c r="O42" s="43">
        <v>0</v>
      </c>
      <c r="P42" s="44">
        <v>2</v>
      </c>
      <c r="Q42" s="43">
        <v>14</v>
      </c>
      <c r="R42" s="44">
        <v>0</v>
      </c>
      <c r="S42" s="43">
        <v>4</v>
      </c>
      <c r="T42" s="44">
        <v>1</v>
      </c>
      <c r="U42" s="43">
        <v>0</v>
      </c>
      <c r="V42" s="44"/>
      <c r="W42" s="43"/>
      <c r="X42" s="44"/>
      <c r="Y42" s="43"/>
      <c r="Z42" s="56">
        <f t="shared" si="0"/>
        <v>7</v>
      </c>
      <c r="AA42" s="54">
        <f t="shared" si="1"/>
        <v>18</v>
      </c>
      <c r="AB42" s="18">
        <f t="shared" si="8"/>
        <v>25</v>
      </c>
      <c r="AD42" s="46">
        <v>0</v>
      </c>
      <c r="AE42" s="47">
        <v>0</v>
      </c>
      <c r="AF42" s="46">
        <f t="shared" si="3"/>
        <v>0</v>
      </c>
      <c r="AG42" s="48">
        <f t="shared" si="4"/>
        <v>0</v>
      </c>
      <c r="AH42" s="49">
        <v>3</v>
      </c>
      <c r="AI42" s="50">
        <v>0</v>
      </c>
      <c r="AJ42" s="51">
        <v>3</v>
      </c>
      <c r="AK42" s="48">
        <v>18</v>
      </c>
      <c r="AL42" s="51"/>
      <c r="AM42" s="50"/>
      <c r="AN42" s="51">
        <f t="shared" si="9"/>
        <v>6</v>
      </c>
      <c r="AO42" s="52">
        <f t="shared" si="10"/>
        <v>18</v>
      </c>
      <c r="AP42" s="50">
        <f t="shared" si="11"/>
        <v>24</v>
      </c>
      <c r="AQ42" s="53">
        <f t="shared" si="12"/>
        <v>0.96</v>
      </c>
    </row>
    <row r="43" spans="1:43" x14ac:dyDescent="0.3">
      <c r="A43" s="6"/>
      <c r="B43" s="43"/>
      <c r="C43" s="43"/>
      <c r="D43" s="43"/>
      <c r="E43" s="43"/>
      <c r="F43" s="43"/>
      <c r="G43" s="43"/>
      <c r="H43" s="44"/>
      <c r="I43" s="43"/>
      <c r="J43" s="44"/>
      <c r="K43" s="43"/>
      <c r="L43" s="44"/>
      <c r="M43" s="43"/>
      <c r="N43" s="44"/>
      <c r="O43" s="43"/>
      <c r="P43" s="44"/>
      <c r="Q43" s="43"/>
      <c r="R43" s="44"/>
      <c r="S43" s="43"/>
      <c r="T43" s="44"/>
      <c r="U43" s="43"/>
      <c r="V43" s="44"/>
      <c r="W43" s="43"/>
      <c r="X43" s="44"/>
      <c r="Y43" s="43"/>
      <c r="Z43" s="56">
        <f t="shared" si="0"/>
        <v>0</v>
      </c>
      <c r="AA43" s="54">
        <f t="shared" si="1"/>
        <v>0</v>
      </c>
      <c r="AB43" s="18">
        <f t="shared" si="8"/>
        <v>0</v>
      </c>
      <c r="AD43" s="46"/>
      <c r="AE43" s="47"/>
      <c r="AF43" s="46">
        <f t="shared" si="3"/>
        <v>0</v>
      </c>
      <c r="AG43" s="48">
        <f t="shared" si="4"/>
        <v>0</v>
      </c>
      <c r="AH43" s="49"/>
      <c r="AI43" s="50"/>
      <c r="AJ43" s="51"/>
      <c r="AK43" s="48"/>
      <c r="AL43" s="51"/>
      <c r="AM43" s="50"/>
      <c r="AN43" s="51">
        <f t="shared" si="9"/>
        <v>0</v>
      </c>
      <c r="AO43" s="52">
        <f t="shared" si="10"/>
        <v>0</v>
      </c>
      <c r="AP43" s="50">
        <f t="shared" si="11"/>
        <v>0</v>
      </c>
      <c r="AQ43" s="53"/>
    </row>
    <row r="44" spans="1:43" x14ac:dyDescent="0.3">
      <c r="A44" s="6"/>
      <c r="B44" s="43"/>
      <c r="C44" s="43"/>
      <c r="D44" s="43"/>
      <c r="E44" s="43"/>
      <c r="F44" s="43"/>
      <c r="G44" s="43"/>
      <c r="H44" s="44"/>
      <c r="I44" s="43"/>
      <c r="J44" s="44"/>
      <c r="K44" s="43"/>
      <c r="L44" s="44"/>
      <c r="M44" s="43"/>
      <c r="N44" s="44"/>
      <c r="O44" s="43"/>
      <c r="P44" s="44"/>
      <c r="Q44" s="43"/>
      <c r="R44" s="44">
        <v>4</v>
      </c>
      <c r="S44" s="43">
        <v>0</v>
      </c>
      <c r="T44" s="44"/>
      <c r="U44" s="43"/>
      <c r="V44" s="44"/>
      <c r="W44" s="43"/>
      <c r="X44" s="44"/>
      <c r="Y44" s="43"/>
      <c r="Z44" s="56">
        <f t="shared" si="0"/>
        <v>4</v>
      </c>
      <c r="AA44" s="54">
        <f t="shared" si="1"/>
        <v>0</v>
      </c>
      <c r="AB44" s="18">
        <f t="shared" si="8"/>
        <v>4</v>
      </c>
      <c r="AD44" s="46"/>
      <c r="AE44" s="47"/>
      <c r="AF44" s="46">
        <f t="shared" si="3"/>
        <v>0</v>
      </c>
      <c r="AG44" s="48">
        <f t="shared" si="4"/>
        <v>0</v>
      </c>
      <c r="AH44" s="49"/>
      <c r="AI44" s="50"/>
      <c r="AJ44" s="51">
        <v>4</v>
      </c>
      <c r="AK44" s="48">
        <v>0</v>
      </c>
      <c r="AL44" s="51"/>
      <c r="AM44" s="50"/>
      <c r="AN44" s="51">
        <f t="shared" si="9"/>
        <v>4</v>
      </c>
      <c r="AO44" s="52">
        <f t="shared" si="10"/>
        <v>0</v>
      </c>
      <c r="AP44" s="50">
        <f t="shared" si="11"/>
        <v>4</v>
      </c>
      <c r="AQ44" s="53">
        <f t="shared" ref="AQ44:AQ53" si="13">(AN44+AO44)/(Z44+AA44)</f>
        <v>1</v>
      </c>
    </row>
    <row r="45" spans="1:43" x14ac:dyDescent="0.3">
      <c r="A45" s="6"/>
      <c r="B45" s="43"/>
      <c r="C45" s="43"/>
      <c r="D45" s="43"/>
      <c r="E45" s="43"/>
      <c r="F45" s="43"/>
      <c r="G45" s="43"/>
      <c r="H45" s="44"/>
      <c r="I45" s="43"/>
      <c r="J45" s="44"/>
      <c r="K45" s="43"/>
      <c r="L45" s="44"/>
      <c r="M45" s="43"/>
      <c r="N45" s="44"/>
      <c r="O45" s="43"/>
      <c r="P45" s="44"/>
      <c r="Q45" s="43"/>
      <c r="R45" s="44">
        <v>4</v>
      </c>
      <c r="S45" s="43">
        <v>0</v>
      </c>
      <c r="T45" s="44"/>
      <c r="U45" s="43"/>
      <c r="V45" s="44"/>
      <c r="W45" s="43"/>
      <c r="X45" s="44"/>
      <c r="Y45" s="43"/>
      <c r="Z45" s="56">
        <f t="shared" si="0"/>
        <v>4</v>
      </c>
      <c r="AA45" s="54">
        <f t="shared" si="1"/>
        <v>0</v>
      </c>
      <c r="AB45" s="18">
        <f t="shared" si="8"/>
        <v>4</v>
      </c>
      <c r="AD45" s="46"/>
      <c r="AE45" s="47"/>
      <c r="AF45" s="46">
        <f t="shared" si="3"/>
        <v>0</v>
      </c>
      <c r="AG45" s="48">
        <f t="shared" si="4"/>
        <v>0</v>
      </c>
      <c r="AH45" s="49"/>
      <c r="AI45" s="50"/>
      <c r="AJ45" s="51">
        <v>4</v>
      </c>
      <c r="AK45" s="48">
        <v>0</v>
      </c>
      <c r="AL45" s="51"/>
      <c r="AM45" s="50"/>
      <c r="AN45" s="51">
        <f t="shared" si="9"/>
        <v>4</v>
      </c>
      <c r="AO45" s="52">
        <f t="shared" si="10"/>
        <v>0</v>
      </c>
      <c r="AP45" s="50">
        <f t="shared" si="11"/>
        <v>4</v>
      </c>
      <c r="AQ45" s="53">
        <f t="shared" si="13"/>
        <v>1</v>
      </c>
    </row>
    <row r="46" spans="1:43" x14ac:dyDescent="0.3">
      <c r="A46" s="6"/>
      <c r="B46" s="43"/>
      <c r="C46" s="43"/>
      <c r="D46" s="43"/>
      <c r="E46" s="43"/>
      <c r="F46" s="43"/>
      <c r="G46" s="43"/>
      <c r="H46" s="44"/>
      <c r="I46" s="43"/>
      <c r="J46" s="44">
        <v>5</v>
      </c>
      <c r="K46" s="43">
        <v>0</v>
      </c>
      <c r="L46" s="44">
        <v>64</v>
      </c>
      <c r="M46" s="43">
        <v>10</v>
      </c>
      <c r="N46" s="44"/>
      <c r="O46" s="43"/>
      <c r="P46" s="44"/>
      <c r="Q46" s="43"/>
      <c r="R46" s="44"/>
      <c r="S46" s="43"/>
      <c r="T46" s="44"/>
      <c r="U46" s="43"/>
      <c r="V46" s="44"/>
      <c r="W46" s="43"/>
      <c r="X46" s="44"/>
      <c r="Y46" s="43"/>
      <c r="Z46" s="56">
        <f t="shared" si="0"/>
        <v>69</v>
      </c>
      <c r="AA46" s="54">
        <f t="shared" si="1"/>
        <v>10</v>
      </c>
      <c r="AB46" s="18">
        <f t="shared" si="8"/>
        <v>79</v>
      </c>
      <c r="AD46" s="46"/>
      <c r="AE46" s="47"/>
      <c r="AF46" s="46">
        <f t="shared" si="3"/>
        <v>0</v>
      </c>
      <c r="AG46" s="48">
        <f t="shared" si="4"/>
        <v>0</v>
      </c>
      <c r="AH46" s="49">
        <v>12</v>
      </c>
      <c r="AI46" s="50">
        <v>8</v>
      </c>
      <c r="AJ46" s="51">
        <v>4</v>
      </c>
      <c r="AK46" s="48">
        <v>2</v>
      </c>
      <c r="AL46" s="51">
        <v>51</v>
      </c>
      <c r="AM46" s="50"/>
      <c r="AN46" s="51">
        <f t="shared" si="9"/>
        <v>67</v>
      </c>
      <c r="AO46" s="52">
        <f t="shared" si="10"/>
        <v>10</v>
      </c>
      <c r="AP46" s="50">
        <f t="shared" si="11"/>
        <v>77</v>
      </c>
      <c r="AQ46" s="53">
        <f t="shared" si="13"/>
        <v>0.97468354430379744</v>
      </c>
    </row>
    <row r="47" spans="1:43" x14ac:dyDescent="0.3">
      <c r="A47" s="6"/>
      <c r="B47" s="43"/>
      <c r="C47" s="43"/>
      <c r="D47" s="43"/>
      <c r="E47" s="43"/>
      <c r="F47" s="43"/>
      <c r="G47" s="43"/>
      <c r="H47" s="44"/>
      <c r="I47" s="43"/>
      <c r="J47" s="44">
        <v>6</v>
      </c>
      <c r="K47" s="43">
        <v>3</v>
      </c>
      <c r="L47" s="44">
        <v>15</v>
      </c>
      <c r="M47" s="43">
        <v>3</v>
      </c>
      <c r="N47" s="44">
        <v>26</v>
      </c>
      <c r="O47" s="43">
        <v>33</v>
      </c>
      <c r="P47" s="44">
        <v>9</v>
      </c>
      <c r="Q47" s="43">
        <v>58</v>
      </c>
      <c r="R47" s="44"/>
      <c r="S47" s="43"/>
      <c r="T47" s="44">
        <v>8</v>
      </c>
      <c r="U47" s="43">
        <v>8</v>
      </c>
      <c r="V47" s="44"/>
      <c r="W47" s="43"/>
      <c r="X47" s="44"/>
      <c r="Y47" s="43"/>
      <c r="Z47" s="56">
        <f t="shared" si="0"/>
        <v>64</v>
      </c>
      <c r="AA47" s="54">
        <f t="shared" si="1"/>
        <v>105</v>
      </c>
      <c r="AB47" s="18">
        <f t="shared" si="8"/>
        <v>169</v>
      </c>
      <c r="AD47" s="46"/>
      <c r="AE47" s="47"/>
      <c r="AF47" s="46">
        <f t="shared" si="3"/>
        <v>0</v>
      </c>
      <c r="AG47" s="48">
        <f t="shared" si="4"/>
        <v>0</v>
      </c>
      <c r="AH47" s="49">
        <v>37</v>
      </c>
      <c r="AI47" s="50">
        <v>31</v>
      </c>
      <c r="AJ47" s="51">
        <v>19</v>
      </c>
      <c r="AK47" s="48">
        <v>66</v>
      </c>
      <c r="AL47" s="51">
        <v>7</v>
      </c>
      <c r="AM47" s="50"/>
      <c r="AN47" s="51">
        <f t="shared" si="9"/>
        <v>63</v>
      </c>
      <c r="AO47" s="52">
        <f t="shared" si="10"/>
        <v>97</v>
      </c>
      <c r="AP47" s="50">
        <f t="shared" si="11"/>
        <v>160</v>
      </c>
      <c r="AQ47" s="53">
        <f t="shared" si="13"/>
        <v>0.94674556213017746</v>
      </c>
    </row>
    <row r="48" spans="1:43" x14ac:dyDescent="0.3">
      <c r="A48" s="6"/>
      <c r="B48" s="54"/>
      <c r="C48" s="54"/>
      <c r="D48" s="54"/>
      <c r="E48" s="54"/>
      <c r="F48" s="54"/>
      <c r="G48" s="54"/>
      <c r="H48" s="55"/>
      <c r="I48" s="54"/>
      <c r="J48" s="55">
        <v>6</v>
      </c>
      <c r="K48" s="54">
        <v>2</v>
      </c>
      <c r="L48" s="55">
        <v>15</v>
      </c>
      <c r="M48" s="54">
        <v>4</v>
      </c>
      <c r="N48" s="55">
        <v>19</v>
      </c>
      <c r="O48" s="54">
        <v>10</v>
      </c>
      <c r="P48" s="55">
        <v>6</v>
      </c>
      <c r="Q48" s="54">
        <v>50</v>
      </c>
      <c r="R48" s="55"/>
      <c r="S48" s="54"/>
      <c r="T48" s="55">
        <v>4</v>
      </c>
      <c r="U48" s="54">
        <v>0</v>
      </c>
      <c r="V48" s="55"/>
      <c r="W48" s="54"/>
      <c r="X48" s="55"/>
      <c r="Y48" s="54"/>
      <c r="Z48" s="56">
        <f t="shared" si="0"/>
        <v>50</v>
      </c>
      <c r="AA48" s="54">
        <f t="shared" si="1"/>
        <v>66</v>
      </c>
      <c r="AB48" s="18">
        <f t="shared" si="8"/>
        <v>116</v>
      </c>
      <c r="AD48" s="46"/>
      <c r="AE48" s="47"/>
      <c r="AF48" s="46">
        <f t="shared" si="3"/>
        <v>0</v>
      </c>
      <c r="AG48" s="48">
        <f t="shared" si="4"/>
        <v>0</v>
      </c>
      <c r="AH48" s="49">
        <v>32</v>
      </c>
      <c r="AI48" s="50">
        <v>12</v>
      </c>
      <c r="AJ48" s="51">
        <v>14</v>
      </c>
      <c r="AK48" s="48">
        <v>54</v>
      </c>
      <c r="AL48" s="51">
        <v>3</v>
      </c>
      <c r="AM48" s="50"/>
      <c r="AN48" s="51">
        <f t="shared" si="9"/>
        <v>49</v>
      </c>
      <c r="AO48" s="52">
        <f t="shared" si="10"/>
        <v>66</v>
      </c>
      <c r="AP48" s="50">
        <f t="shared" si="11"/>
        <v>115</v>
      </c>
      <c r="AQ48" s="53">
        <f t="shared" si="13"/>
        <v>0.99137931034482762</v>
      </c>
    </row>
    <row r="49" spans="1:43" x14ac:dyDescent="0.3">
      <c r="A49" s="6"/>
      <c r="B49" s="43"/>
      <c r="C49" s="43"/>
      <c r="D49" s="43"/>
      <c r="E49" s="43"/>
      <c r="F49" s="43"/>
      <c r="G49" s="43"/>
      <c r="H49" s="44"/>
      <c r="I49" s="43"/>
      <c r="J49" s="44">
        <v>2</v>
      </c>
      <c r="K49" s="43">
        <v>0</v>
      </c>
      <c r="L49" s="44">
        <v>6</v>
      </c>
      <c r="M49" s="43">
        <v>0</v>
      </c>
      <c r="N49" s="44"/>
      <c r="O49" s="43"/>
      <c r="P49" s="44">
        <v>3</v>
      </c>
      <c r="Q49" s="43">
        <v>5</v>
      </c>
      <c r="R49" s="44"/>
      <c r="S49" s="43"/>
      <c r="T49" s="44"/>
      <c r="U49" s="43"/>
      <c r="V49" s="44"/>
      <c r="W49" s="43"/>
      <c r="X49" s="44"/>
      <c r="Y49" s="43"/>
      <c r="Z49" s="56">
        <f t="shared" si="0"/>
        <v>11</v>
      </c>
      <c r="AA49" s="54">
        <f t="shared" si="1"/>
        <v>5</v>
      </c>
      <c r="AB49" s="18">
        <f t="shared" si="8"/>
        <v>16</v>
      </c>
      <c r="AD49" s="46"/>
      <c r="AE49" s="47"/>
      <c r="AF49" s="46">
        <f t="shared" si="3"/>
        <v>0</v>
      </c>
      <c r="AG49" s="48">
        <f t="shared" si="4"/>
        <v>0</v>
      </c>
      <c r="AH49" s="49">
        <v>4</v>
      </c>
      <c r="AI49" s="50">
        <v>1</v>
      </c>
      <c r="AJ49" s="51">
        <v>5</v>
      </c>
      <c r="AK49" s="48">
        <v>6</v>
      </c>
      <c r="AL49" s="51"/>
      <c r="AM49" s="50"/>
      <c r="AN49" s="51">
        <f t="shared" si="9"/>
        <v>9</v>
      </c>
      <c r="AO49" s="52">
        <f t="shared" si="10"/>
        <v>7</v>
      </c>
      <c r="AP49" s="50">
        <f t="shared" si="11"/>
        <v>16</v>
      </c>
      <c r="AQ49" s="53">
        <f t="shared" si="13"/>
        <v>1</v>
      </c>
    </row>
    <row r="50" spans="1:43" x14ac:dyDescent="0.3">
      <c r="A50" s="6"/>
      <c r="B50" s="54"/>
      <c r="C50" s="54"/>
      <c r="D50" s="54"/>
      <c r="E50" s="54"/>
      <c r="F50" s="54"/>
      <c r="G50" s="54"/>
      <c r="H50" s="55"/>
      <c r="I50" s="54"/>
      <c r="J50" s="55">
        <v>1</v>
      </c>
      <c r="K50" s="54">
        <v>3</v>
      </c>
      <c r="L50" s="55">
        <v>19</v>
      </c>
      <c r="M50" s="54">
        <v>0</v>
      </c>
      <c r="N50" s="55"/>
      <c r="O50" s="54"/>
      <c r="P50" s="55"/>
      <c r="Q50" s="54"/>
      <c r="R50" s="55"/>
      <c r="S50" s="54"/>
      <c r="T50" s="55"/>
      <c r="U50" s="54"/>
      <c r="V50" s="55"/>
      <c r="W50" s="54"/>
      <c r="X50" s="55">
        <v>0</v>
      </c>
      <c r="Y50" s="54">
        <v>5</v>
      </c>
      <c r="Z50" s="56">
        <f t="shared" si="0"/>
        <v>20</v>
      </c>
      <c r="AA50" s="54">
        <f t="shared" si="1"/>
        <v>8</v>
      </c>
      <c r="AB50" s="18">
        <f t="shared" si="8"/>
        <v>28</v>
      </c>
      <c r="AD50" s="46"/>
      <c r="AE50" s="47"/>
      <c r="AF50" s="46">
        <f t="shared" si="3"/>
        <v>0</v>
      </c>
      <c r="AG50" s="48">
        <f t="shared" si="4"/>
        <v>0</v>
      </c>
      <c r="AH50" s="49">
        <v>0</v>
      </c>
      <c r="AI50" s="50">
        <v>2</v>
      </c>
      <c r="AJ50" s="51">
        <v>1</v>
      </c>
      <c r="AK50" s="48">
        <v>1</v>
      </c>
      <c r="AL50" s="51">
        <v>48</v>
      </c>
      <c r="AM50" s="50">
        <v>4</v>
      </c>
      <c r="AN50" s="51">
        <f t="shared" si="9"/>
        <v>49</v>
      </c>
      <c r="AO50" s="52">
        <f t="shared" si="10"/>
        <v>7</v>
      </c>
      <c r="AP50" s="50">
        <f t="shared" si="11"/>
        <v>56</v>
      </c>
      <c r="AQ50" s="53">
        <f t="shared" si="13"/>
        <v>2</v>
      </c>
    </row>
    <row r="51" spans="1:43" x14ac:dyDescent="0.3">
      <c r="A51" s="6"/>
      <c r="B51" s="54"/>
      <c r="C51" s="54"/>
      <c r="D51" s="54"/>
      <c r="E51" s="54"/>
      <c r="F51" s="54"/>
      <c r="G51" s="54"/>
      <c r="H51" s="55"/>
      <c r="I51" s="54"/>
      <c r="J51" s="55"/>
      <c r="K51" s="54"/>
      <c r="L51" s="55">
        <v>9</v>
      </c>
      <c r="M51" s="54">
        <v>9</v>
      </c>
      <c r="N51" s="55">
        <v>17</v>
      </c>
      <c r="O51" s="54">
        <v>0</v>
      </c>
      <c r="P51" s="55"/>
      <c r="Q51" s="54"/>
      <c r="R51" s="55"/>
      <c r="S51" s="54"/>
      <c r="T51" s="55"/>
      <c r="U51" s="54"/>
      <c r="V51" s="55"/>
      <c r="W51" s="54"/>
      <c r="X51" s="55"/>
      <c r="Y51" s="54"/>
      <c r="Z51" s="56">
        <f t="shared" si="0"/>
        <v>26</v>
      </c>
      <c r="AA51" s="54">
        <f t="shared" si="1"/>
        <v>9</v>
      </c>
      <c r="AB51" s="18">
        <f t="shared" si="8"/>
        <v>35</v>
      </c>
      <c r="AD51" s="46"/>
      <c r="AE51" s="47"/>
      <c r="AF51" s="46">
        <f t="shared" si="3"/>
        <v>0</v>
      </c>
      <c r="AG51" s="48">
        <f t="shared" si="4"/>
        <v>0</v>
      </c>
      <c r="AH51" s="49">
        <v>20</v>
      </c>
      <c r="AI51" s="50">
        <v>7</v>
      </c>
      <c r="AJ51" s="51">
        <v>6</v>
      </c>
      <c r="AK51" s="48">
        <v>2</v>
      </c>
      <c r="AL51" s="51"/>
      <c r="AM51" s="50"/>
      <c r="AN51" s="51">
        <f t="shared" si="9"/>
        <v>26</v>
      </c>
      <c r="AO51" s="52">
        <f t="shared" si="10"/>
        <v>9</v>
      </c>
      <c r="AP51" s="50">
        <f t="shared" si="11"/>
        <v>35</v>
      </c>
      <c r="AQ51" s="53">
        <f t="shared" si="13"/>
        <v>1</v>
      </c>
    </row>
    <row r="52" spans="1:43" x14ac:dyDescent="0.3">
      <c r="A52" s="6"/>
      <c r="B52" s="54"/>
      <c r="C52" s="54"/>
      <c r="D52" s="54"/>
      <c r="E52" s="54"/>
      <c r="F52" s="54"/>
      <c r="G52" s="54"/>
      <c r="H52" s="55"/>
      <c r="I52" s="54"/>
      <c r="J52" s="55"/>
      <c r="K52" s="54"/>
      <c r="L52" s="55"/>
      <c r="M52" s="54"/>
      <c r="N52" s="55">
        <v>6</v>
      </c>
      <c r="O52" s="54">
        <v>0</v>
      </c>
      <c r="P52" s="55">
        <v>0</v>
      </c>
      <c r="Q52" s="54">
        <v>6</v>
      </c>
      <c r="R52" s="55"/>
      <c r="S52" s="54"/>
      <c r="T52" s="55"/>
      <c r="U52" s="54"/>
      <c r="V52" s="55"/>
      <c r="W52" s="54"/>
      <c r="X52" s="55"/>
      <c r="Y52" s="54"/>
      <c r="Z52" s="56">
        <v>6</v>
      </c>
      <c r="AA52" s="54">
        <v>6</v>
      </c>
      <c r="AB52" s="18">
        <f t="shared" si="8"/>
        <v>12</v>
      </c>
      <c r="AD52" s="59"/>
      <c r="AE52" s="60"/>
      <c r="AF52" s="51"/>
      <c r="AG52" s="48"/>
      <c r="AH52" s="27"/>
      <c r="AI52" s="29"/>
      <c r="AJ52" s="61"/>
      <c r="AK52" s="62"/>
      <c r="AL52" s="61"/>
      <c r="AM52" s="29"/>
      <c r="AN52" s="51">
        <f t="shared" si="9"/>
        <v>0</v>
      </c>
      <c r="AO52" s="52">
        <f t="shared" si="10"/>
        <v>0</v>
      </c>
      <c r="AP52" s="50">
        <f t="shared" si="11"/>
        <v>0</v>
      </c>
      <c r="AQ52" s="53">
        <f t="shared" si="13"/>
        <v>0</v>
      </c>
    </row>
    <row r="53" spans="1:43" x14ac:dyDescent="0.3">
      <c r="A53" s="6"/>
      <c r="B53" s="63"/>
      <c r="C53" s="63"/>
      <c r="D53" s="63"/>
      <c r="E53" s="63"/>
      <c r="F53" s="63"/>
      <c r="G53" s="63"/>
      <c r="H53" s="64"/>
      <c r="I53" s="63"/>
      <c r="J53" s="64"/>
      <c r="K53" s="63"/>
      <c r="L53" s="64"/>
      <c r="M53" s="63"/>
      <c r="N53" s="64"/>
      <c r="O53" s="63"/>
      <c r="P53" s="64"/>
      <c r="Q53" s="63"/>
      <c r="R53" s="64"/>
      <c r="S53" s="63"/>
      <c r="T53" s="64"/>
      <c r="U53" s="63"/>
      <c r="V53" s="64"/>
      <c r="W53" s="63"/>
      <c r="X53" s="64">
        <v>1</v>
      </c>
      <c r="Y53" s="63">
        <v>1</v>
      </c>
      <c r="Z53" s="21">
        <f>SUM(B53,D53,F53,H53,J53,L53,N53,P53,R53,T53,V53,X53)</f>
        <v>1</v>
      </c>
      <c r="AA53" s="63">
        <f>SUM(C53,E53,G53,I53,K53,M53,O53,Q53,S53,U53,W53,Y53)</f>
        <v>1</v>
      </c>
      <c r="AB53" s="18">
        <f t="shared" si="8"/>
        <v>2</v>
      </c>
      <c r="AD53" s="65"/>
      <c r="AE53" s="66"/>
      <c r="AF53" s="23"/>
      <c r="AG53" s="25"/>
      <c r="AH53" s="26"/>
      <c r="AI53" s="24"/>
      <c r="AJ53" s="23"/>
      <c r="AK53" s="25"/>
      <c r="AL53" s="23"/>
      <c r="AM53" s="24"/>
      <c r="AN53" s="23">
        <f t="shared" si="9"/>
        <v>0</v>
      </c>
      <c r="AO53" s="67">
        <f t="shared" si="10"/>
        <v>0</v>
      </c>
      <c r="AP53" s="24">
        <f t="shared" si="11"/>
        <v>0</v>
      </c>
      <c r="AQ53" s="68">
        <f t="shared" si="13"/>
        <v>0</v>
      </c>
    </row>
    <row r="54" spans="1:43" ht="15.6" x14ac:dyDescent="0.3">
      <c r="A54" s="69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>
        <f>SUM(AB4:AB53)</f>
        <v>1679</v>
      </c>
      <c r="AP54" s="16">
        <f>SUM(AP5:AP53)</f>
        <v>1182</v>
      </c>
    </row>
  </sheetData>
  <mergeCells count="23">
    <mergeCell ref="AQ2:AQ3"/>
    <mergeCell ref="A4:A53"/>
    <mergeCell ref="AF2:AG2"/>
    <mergeCell ref="AH2:AI2"/>
    <mergeCell ref="AJ2:AK2"/>
    <mergeCell ref="AL2:AM2"/>
    <mergeCell ref="AN2:AP2"/>
    <mergeCell ref="B1:AA1"/>
    <mergeCell ref="AD1:AP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D2:AE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35"/>
  <sheetViews>
    <sheetView showGridLines="0" zoomScale="60" zoomScaleNormal="60" workbookViewId="0">
      <selection activeCell="D23" sqref="D23"/>
    </sheetView>
  </sheetViews>
  <sheetFormatPr defaultColWidth="8.6640625" defaultRowHeight="14.4" x14ac:dyDescent="0.3"/>
  <cols>
    <col min="2" max="2" width="14.5546875" customWidth="1"/>
    <col min="3" max="3" width="28" customWidth="1"/>
    <col min="4" max="4" width="26.5546875" customWidth="1"/>
    <col min="5" max="5" width="16.44140625" customWidth="1"/>
    <col min="7" max="7" width="62.44140625" customWidth="1"/>
    <col min="8" max="8" width="50.5546875" customWidth="1"/>
    <col min="9" max="9" width="17" customWidth="1"/>
    <col min="10" max="10" width="20" customWidth="1"/>
    <col min="11" max="11" width="14.109375" customWidth="1"/>
    <col min="12" max="12" width="15.5546875" customWidth="1"/>
    <col min="13" max="13" width="21.6640625" customWidth="1"/>
  </cols>
  <sheetData>
    <row r="2" spans="2:7" x14ac:dyDescent="0.3">
      <c r="B2" s="70" t="s">
        <v>26</v>
      </c>
      <c r="C2" s="71" t="s">
        <v>27</v>
      </c>
      <c r="D2" s="71" t="s">
        <v>28</v>
      </c>
      <c r="E2" s="71" t="s">
        <v>29</v>
      </c>
    </row>
    <row r="3" spans="2:7" ht="15.6" x14ac:dyDescent="0.3">
      <c r="B3" s="72" t="s">
        <v>30</v>
      </c>
      <c r="C3" s="73">
        <v>0.90277777777777801</v>
      </c>
      <c r="D3" s="74">
        <v>0</v>
      </c>
      <c r="E3" s="73">
        <f>'Confronto ore 2024_2025'!$C3-'Confronto ore 2024_2025'!$D3</f>
        <v>0.90277777777777801</v>
      </c>
      <c r="G3" s="75" t="s">
        <v>31</v>
      </c>
    </row>
    <row r="4" spans="2:7" ht="15.6" x14ac:dyDescent="0.3">
      <c r="B4" s="72" t="s">
        <v>32</v>
      </c>
      <c r="C4" s="73">
        <v>0</v>
      </c>
      <c r="D4" s="74">
        <v>0</v>
      </c>
      <c r="E4" s="73">
        <f>'Confronto ore 2024_2025'!$C4-'Confronto ore 2024_2025'!$D4</f>
        <v>0</v>
      </c>
      <c r="G4" s="76">
        <f>AVERAGE('Confronto ore 2024_2025'!$C$3:$C$14)</f>
        <v>3.9705439814814807</v>
      </c>
    </row>
    <row r="5" spans="2:7" ht="15.6" x14ac:dyDescent="0.3">
      <c r="B5" s="72" t="s">
        <v>33</v>
      </c>
      <c r="C5" s="73">
        <v>1.6597222222222201</v>
      </c>
      <c r="D5" s="74">
        <v>0.45833333333333298</v>
      </c>
      <c r="E5" s="73">
        <f>'Confronto ore 2024_2025'!$C5-'Confronto ore 2024_2025'!$D5</f>
        <v>1.2013888888888871</v>
      </c>
      <c r="G5" s="77"/>
    </row>
    <row r="6" spans="2:7" ht="15.6" x14ac:dyDescent="0.3">
      <c r="B6" s="72" t="s">
        <v>34</v>
      </c>
      <c r="C6" s="73">
        <v>0.39791666666666697</v>
      </c>
      <c r="D6" s="74">
        <v>0</v>
      </c>
      <c r="E6" s="73">
        <f>'Confronto ore 2024_2025'!$C6-'Confronto ore 2024_2025'!$D6</f>
        <v>0.39791666666666697</v>
      </c>
      <c r="G6" s="77"/>
    </row>
    <row r="7" spans="2:7" ht="15.6" x14ac:dyDescent="0.3">
      <c r="B7" s="72" t="s">
        <v>35</v>
      </c>
      <c r="C7" s="73">
        <v>4.2708333333333304</v>
      </c>
      <c r="D7" s="73">
        <v>1.125</v>
      </c>
      <c r="E7" s="73">
        <f>'Confronto ore 2024_2025'!$C7-'Confronto ore 2024_2025'!$D7</f>
        <v>3.1458333333333304</v>
      </c>
      <c r="G7" s="75" t="s">
        <v>36</v>
      </c>
    </row>
    <row r="8" spans="2:7" ht="15.6" x14ac:dyDescent="0.3">
      <c r="B8" s="72" t="s">
        <v>37</v>
      </c>
      <c r="C8" s="73">
        <v>6.84375</v>
      </c>
      <c r="D8" s="73">
        <v>3.75</v>
      </c>
      <c r="E8" s="73">
        <f>'Confronto ore 2024_2025'!$C8-'Confronto ore 2024_2025'!$D8</f>
        <v>3.09375</v>
      </c>
      <c r="G8" s="76">
        <f>AVERAGE('Confronto ore 2024_2025'!$D$3:$D$14)</f>
        <v>1.6180555555555562</v>
      </c>
    </row>
    <row r="9" spans="2:7" ht="15.6" x14ac:dyDescent="0.3">
      <c r="B9" s="72" t="s">
        <v>38</v>
      </c>
      <c r="C9" s="73">
        <v>1.50694444444444</v>
      </c>
      <c r="D9" s="73">
        <v>1.5</v>
      </c>
      <c r="E9" s="73">
        <f>'Confronto ore 2024_2025'!$C9-'Confronto ore 2024_2025'!$D9</f>
        <v>6.9444444444399789E-3</v>
      </c>
      <c r="G9" s="77"/>
    </row>
    <row r="10" spans="2:7" ht="15.6" x14ac:dyDescent="0.3">
      <c r="B10" s="72" t="s">
        <v>39</v>
      </c>
      <c r="C10" s="73">
        <v>7.7354166666666702</v>
      </c>
      <c r="D10" s="73">
        <v>2.9166666666666701</v>
      </c>
      <c r="E10" s="73">
        <f>'Confronto ore 2024_2025'!$C10-'Confronto ore 2024_2025'!$D10</f>
        <v>4.8187499999999996</v>
      </c>
      <c r="G10" s="77"/>
    </row>
    <row r="11" spans="2:7" ht="15.6" x14ac:dyDescent="0.3">
      <c r="B11" s="72" t="s">
        <v>40</v>
      </c>
      <c r="C11" s="73">
        <v>6.4270833333333304</v>
      </c>
      <c r="D11" s="73">
        <v>1.9583333333333299</v>
      </c>
      <c r="E11" s="73">
        <f>'Confronto ore 2024_2025'!$C11-'Confronto ore 2024_2025'!$D11</f>
        <v>4.46875</v>
      </c>
      <c r="G11" s="75" t="s">
        <v>41</v>
      </c>
    </row>
    <row r="12" spans="2:7" ht="15.6" x14ac:dyDescent="0.3">
      <c r="B12" s="72" t="s">
        <v>42</v>
      </c>
      <c r="C12" s="73">
        <v>4.46875</v>
      </c>
      <c r="D12" s="73">
        <v>1.4166666666666701</v>
      </c>
      <c r="E12" s="73">
        <f>'Confronto ore 2024_2025'!$C12-'Confronto ore 2024_2025'!$D12</f>
        <v>3.0520833333333299</v>
      </c>
      <c r="G12" s="78">
        <f>(('Confronto ore 2024_2025'!$D$15-'Confronto ore 2024_2025'!$C$15)/'Confronto ore 2024_2025'!$C$15)</f>
        <v>-0.59248517001646939</v>
      </c>
    </row>
    <row r="13" spans="2:7" x14ac:dyDescent="0.3">
      <c r="B13" s="72" t="s">
        <v>43</v>
      </c>
      <c r="C13" s="73">
        <v>6.2430555555555598</v>
      </c>
      <c r="D13" s="73">
        <v>3.0416666666666701</v>
      </c>
      <c r="E13" s="73">
        <f>'Confronto ore 2024_2025'!$C13-'Confronto ore 2024_2025'!$D13</f>
        <v>3.2013888888888897</v>
      </c>
    </row>
    <row r="14" spans="2:7" x14ac:dyDescent="0.3">
      <c r="B14" s="72" t="s">
        <v>44</v>
      </c>
      <c r="C14" s="73">
        <v>7.19027777777778</v>
      </c>
      <c r="D14" s="73">
        <v>3.25</v>
      </c>
      <c r="E14" s="73">
        <f>'Confronto ore 2024_2025'!$C14-'Confronto ore 2024_2025'!$D14</f>
        <v>3.94027777777778</v>
      </c>
    </row>
    <row r="15" spans="2:7" ht="55.5" customHeight="1" x14ac:dyDescent="0.3">
      <c r="B15" s="79" t="s">
        <v>24</v>
      </c>
      <c r="C15" s="80">
        <f>SUBTOTAL(109,'Confronto ore 2024_2025'!$C$3:$C$14)</f>
        <v>47.64652777777777</v>
      </c>
      <c r="D15" s="80">
        <f>SUBTOTAL(109,'Confronto ore 2024_2025'!$D$3:$D$14)</f>
        <v>19.416666666666675</v>
      </c>
      <c r="E15" s="80">
        <f>SUBTOTAL(109,'Confronto ore 2024_2025'!$E$3:$E$14)</f>
        <v>28.229861111111102</v>
      </c>
    </row>
    <row r="16" spans="2:7" ht="55.5" customHeight="1" x14ac:dyDescent="0.3">
      <c r="B16" s="81"/>
      <c r="C16" s="82"/>
      <c r="D16" s="82"/>
      <c r="E16" s="82"/>
    </row>
    <row r="17" spans="5:10" ht="36.75" customHeight="1" x14ac:dyDescent="0.3">
      <c r="E17" s="83"/>
      <c r="G17" s="5" t="s">
        <v>45</v>
      </c>
      <c r="H17" s="5"/>
      <c r="I17" s="5"/>
      <c r="J17" s="5"/>
    </row>
    <row r="18" spans="5:10" ht="31.2" x14ac:dyDescent="0.3">
      <c r="G18" s="84" t="s">
        <v>46</v>
      </c>
      <c r="H18" s="84" t="s">
        <v>47</v>
      </c>
      <c r="I18" s="84" t="s">
        <v>48</v>
      </c>
      <c r="J18" s="85" t="s">
        <v>49</v>
      </c>
    </row>
    <row r="19" spans="5:10" ht="17.399999999999999" x14ac:dyDescent="0.3">
      <c r="G19" s="84" t="s">
        <v>50</v>
      </c>
      <c r="H19" s="86" t="s">
        <v>51</v>
      </c>
      <c r="I19" s="86" t="s">
        <v>52</v>
      </c>
      <c r="J19" s="84" t="s">
        <v>53</v>
      </c>
    </row>
    <row r="20" spans="5:10" ht="22.8" x14ac:dyDescent="0.3">
      <c r="G20" s="84" t="s">
        <v>54</v>
      </c>
      <c r="H20" s="87">
        <v>35040</v>
      </c>
      <c r="I20" s="87">
        <v>26592</v>
      </c>
      <c r="J20" s="88">
        <v>8448</v>
      </c>
    </row>
    <row r="23" spans="5:10" ht="39.75" customHeight="1" x14ac:dyDescent="0.3"/>
    <row r="24" spans="5:10" ht="26.25" customHeight="1" x14ac:dyDescent="0.3">
      <c r="G24" s="5" t="s">
        <v>55</v>
      </c>
      <c r="H24" s="5"/>
      <c r="I24" s="5"/>
      <c r="J24" s="5"/>
    </row>
    <row r="25" spans="5:10" ht="39.75" customHeight="1" x14ac:dyDescent="0.3">
      <c r="G25" s="4" t="s">
        <v>56</v>
      </c>
      <c r="H25" s="4"/>
      <c r="I25" s="4"/>
      <c r="J25" s="4"/>
    </row>
    <row r="26" spans="5:10" ht="38.25" customHeight="1" x14ac:dyDescent="0.3">
      <c r="G26" s="3" t="s">
        <v>57</v>
      </c>
      <c r="H26" s="3"/>
      <c r="I26" s="3"/>
      <c r="J26" s="3"/>
    </row>
    <row r="27" spans="5:10" ht="15" customHeight="1" x14ac:dyDescent="0.3">
      <c r="G27" s="89"/>
      <c r="H27" s="90"/>
      <c r="I27" s="90"/>
      <c r="J27" s="91"/>
    </row>
    <row r="28" spans="5:10" ht="34.5" customHeight="1" x14ac:dyDescent="0.3">
      <c r="G28" s="3" t="s">
        <v>58</v>
      </c>
      <c r="H28" s="3"/>
      <c r="I28" s="3"/>
      <c r="J28" s="3"/>
    </row>
    <row r="29" spans="5:10" ht="17.399999999999999" x14ac:dyDescent="0.3">
      <c r="G29" s="92"/>
      <c r="H29" s="93"/>
      <c r="I29" s="93"/>
      <c r="J29" s="94"/>
    </row>
    <row r="34" spans="2:7" ht="22.8" x14ac:dyDescent="0.3">
      <c r="B34" s="95"/>
      <c r="C34" s="95"/>
      <c r="D34" s="96"/>
      <c r="E34" s="95"/>
      <c r="F34" s="95"/>
      <c r="G34" s="95"/>
    </row>
    <row r="35" spans="2:7" ht="22.8" x14ac:dyDescent="0.3">
      <c r="B35" s="95"/>
      <c r="C35" s="95"/>
      <c r="D35" s="97"/>
      <c r="E35" s="96"/>
      <c r="F35" s="96"/>
      <c r="G35" s="95"/>
    </row>
  </sheetData>
  <mergeCells count="5">
    <mergeCell ref="G17:J17"/>
    <mergeCell ref="G24:J24"/>
    <mergeCell ref="G25:J25"/>
    <mergeCell ref="G26:J26"/>
    <mergeCell ref="G28:J28"/>
  </mergeCells>
  <conditionalFormatting sqref="B34:G35">
    <cfRule type="duplicateValues" dxfId="2" priority="2"/>
  </conditionalFormatting>
  <conditionalFormatting sqref="J20">
    <cfRule type="cellIs" dxfId="1" priority="3" operator="lessThan">
      <formula>-8448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2:O57"/>
  <sheetViews>
    <sheetView showGridLines="0" topLeftCell="A4" zoomScale="40" zoomScaleNormal="40" workbookViewId="0">
      <selection activeCell="AK33" sqref="AK33"/>
    </sheetView>
  </sheetViews>
  <sheetFormatPr defaultColWidth="8.6640625" defaultRowHeight="14.4" x14ac:dyDescent="0.3"/>
  <cols>
    <col min="2" max="2" width="14" customWidth="1"/>
    <col min="3" max="3" width="15.5546875" customWidth="1"/>
    <col min="4" max="4" width="11.109375" customWidth="1"/>
    <col min="5" max="5" width="11.33203125" customWidth="1"/>
    <col min="6" max="6" width="12.5546875" customWidth="1"/>
    <col min="7" max="7" width="12.33203125" customWidth="1"/>
    <col min="8" max="8" width="11.44140625" customWidth="1"/>
    <col min="9" max="9" width="13.109375" customWidth="1"/>
    <col min="10" max="10" width="18.44140625" customWidth="1"/>
    <col min="11" max="11" width="14.88671875" customWidth="1"/>
    <col min="12" max="12" width="17" customWidth="1"/>
    <col min="13" max="13" width="16" customWidth="1"/>
  </cols>
  <sheetData>
    <row r="42" spans="1:15" ht="205.5" customHeight="1" x14ac:dyDescent="0.3"/>
    <row r="44" spans="1:15" ht="17.399999999999999" x14ac:dyDescent="0.3">
      <c r="A44" s="95"/>
      <c r="B44" s="2" t="s">
        <v>59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7.399999999999999" x14ac:dyDescent="0.3">
      <c r="A45" s="95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9"/>
    </row>
    <row r="46" spans="1:15" ht="17.399999999999999" x14ac:dyDescent="0.3">
      <c r="A46" s="95"/>
      <c r="B46" s="2">
        <v>2025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7.399999999999999" x14ac:dyDescent="0.3">
      <c r="A47" s="95"/>
      <c r="B47" s="100" t="s">
        <v>2</v>
      </c>
      <c r="C47" s="101" t="s">
        <v>3</v>
      </c>
      <c r="D47" s="101" t="s">
        <v>4</v>
      </c>
      <c r="E47" s="101" t="s">
        <v>5</v>
      </c>
      <c r="F47" s="101" t="s">
        <v>6</v>
      </c>
      <c r="G47" s="101" t="s">
        <v>7</v>
      </c>
      <c r="H47" s="101" t="s">
        <v>8</v>
      </c>
      <c r="I47" s="101" t="s">
        <v>9</v>
      </c>
      <c r="J47" s="101" t="s">
        <v>10</v>
      </c>
      <c r="K47" s="101" t="s">
        <v>11</v>
      </c>
      <c r="L47" s="101" t="s">
        <v>12</v>
      </c>
      <c r="M47" s="101" t="s">
        <v>13</v>
      </c>
      <c r="N47" s="1" t="s">
        <v>60</v>
      </c>
      <c r="O47" s="1"/>
    </row>
    <row r="48" spans="1:15" ht="17.399999999999999" x14ac:dyDescent="0.3">
      <c r="A48" s="95"/>
      <c r="B48" s="100">
        <v>12</v>
      </c>
      <c r="C48" s="100">
        <v>17</v>
      </c>
      <c r="D48" s="100">
        <v>36</v>
      </c>
      <c r="E48" s="100">
        <v>64</v>
      </c>
      <c r="F48" s="100">
        <v>143</v>
      </c>
      <c r="G48" s="100">
        <v>250</v>
      </c>
      <c r="H48" s="100">
        <v>213</v>
      </c>
      <c r="I48" s="100">
        <v>199</v>
      </c>
      <c r="J48" s="100">
        <v>31</v>
      </c>
      <c r="K48" s="100">
        <v>70</v>
      </c>
      <c r="L48" s="100">
        <v>37</v>
      </c>
      <c r="M48" s="100">
        <v>36</v>
      </c>
      <c r="N48" s="103">
        <f>SUM(B48:M48)</f>
        <v>1108</v>
      </c>
      <c r="O48" s="103"/>
    </row>
    <row r="49" spans="1:15" ht="17.399999999999999" x14ac:dyDescent="0.3">
      <c r="A49" s="95"/>
      <c r="B49" s="99"/>
      <c r="C49" s="99"/>
      <c r="D49" s="99"/>
      <c r="E49" s="99"/>
      <c r="F49" s="98"/>
      <c r="G49" s="98"/>
      <c r="H49" s="98"/>
      <c r="I49" s="98"/>
      <c r="J49" s="98"/>
      <c r="K49" s="98"/>
      <c r="L49" s="98"/>
      <c r="M49" s="98"/>
      <c r="N49" s="98"/>
      <c r="O49" s="99"/>
    </row>
    <row r="50" spans="1:15" ht="17.399999999999999" x14ac:dyDescent="0.3">
      <c r="A50" s="95"/>
      <c r="B50" s="2">
        <v>2024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7.399999999999999" x14ac:dyDescent="0.3">
      <c r="A51" s="95"/>
      <c r="B51" s="100" t="s">
        <v>2</v>
      </c>
      <c r="C51" s="100" t="s">
        <v>3</v>
      </c>
      <c r="D51" s="100" t="s">
        <v>4</v>
      </c>
      <c r="E51" s="100" t="s">
        <v>5</v>
      </c>
      <c r="F51" s="100" t="s">
        <v>6</v>
      </c>
      <c r="G51" s="100" t="s">
        <v>7</v>
      </c>
      <c r="H51" s="100" t="s">
        <v>8</v>
      </c>
      <c r="I51" s="100" t="s">
        <v>9</v>
      </c>
      <c r="J51" s="100" t="s">
        <v>10</v>
      </c>
      <c r="K51" s="100" t="s">
        <v>11</v>
      </c>
      <c r="L51" s="100" t="s">
        <v>12</v>
      </c>
      <c r="M51" s="100" t="s">
        <v>13</v>
      </c>
      <c r="N51" s="2" t="s">
        <v>61</v>
      </c>
      <c r="O51" s="2"/>
    </row>
    <row r="52" spans="1:15" ht="17.399999999999999" x14ac:dyDescent="0.3">
      <c r="A52" s="95"/>
      <c r="B52" s="100">
        <v>53</v>
      </c>
      <c r="C52" s="100">
        <v>51</v>
      </c>
      <c r="D52" s="100">
        <v>74</v>
      </c>
      <c r="E52" s="100">
        <v>144</v>
      </c>
      <c r="F52" s="100">
        <v>120</v>
      </c>
      <c r="G52" s="100">
        <v>308</v>
      </c>
      <c r="H52" s="100">
        <v>290</v>
      </c>
      <c r="I52" s="100">
        <v>389</v>
      </c>
      <c r="J52" s="100">
        <v>81</v>
      </c>
      <c r="K52" s="100">
        <v>104</v>
      </c>
      <c r="L52" s="100">
        <v>33</v>
      </c>
      <c r="M52" s="100">
        <v>30</v>
      </c>
      <c r="N52" s="2">
        <f>SUM(B52:M52)</f>
        <v>1677</v>
      </c>
      <c r="O52" s="2"/>
    </row>
    <row r="53" spans="1:15" ht="17.399999999999999" x14ac:dyDescent="0.3">
      <c r="A53" s="95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102"/>
      <c r="O53" s="99"/>
    </row>
    <row r="54" spans="1:15" ht="17.399999999999999" x14ac:dyDescent="0.3">
      <c r="A54" s="95"/>
      <c r="B54" s="2">
        <v>2023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7.399999999999999" x14ac:dyDescent="0.3">
      <c r="A55" s="95"/>
      <c r="B55" s="100" t="s">
        <v>2</v>
      </c>
      <c r="C55" s="100" t="s">
        <v>3</v>
      </c>
      <c r="D55" s="100" t="s">
        <v>4</v>
      </c>
      <c r="E55" s="100" t="s">
        <v>5</v>
      </c>
      <c r="F55" s="100" t="s">
        <v>6</v>
      </c>
      <c r="G55" s="100" t="s">
        <v>7</v>
      </c>
      <c r="H55" s="100" t="s">
        <v>8</v>
      </c>
      <c r="I55" s="100" t="s">
        <v>9</v>
      </c>
      <c r="J55" s="100" t="s">
        <v>10</v>
      </c>
      <c r="K55" s="100" t="s">
        <v>11</v>
      </c>
      <c r="L55" s="100" t="s">
        <v>12</v>
      </c>
      <c r="M55" s="100" t="s">
        <v>13</v>
      </c>
      <c r="N55" s="2" t="s">
        <v>62</v>
      </c>
      <c r="O55" s="2"/>
    </row>
    <row r="56" spans="1:15" ht="17.399999999999999" x14ac:dyDescent="0.3">
      <c r="A56" s="95"/>
      <c r="B56" s="100">
        <v>29</v>
      </c>
      <c r="C56" s="100">
        <v>37</v>
      </c>
      <c r="D56" s="100">
        <v>22</v>
      </c>
      <c r="E56" s="100">
        <v>77</v>
      </c>
      <c r="F56" s="100">
        <v>135</v>
      </c>
      <c r="G56" s="100">
        <v>105</v>
      </c>
      <c r="H56" s="100">
        <v>317</v>
      </c>
      <c r="I56" s="100">
        <v>453</v>
      </c>
      <c r="J56" s="100">
        <v>112</v>
      </c>
      <c r="K56" s="100">
        <v>58</v>
      </c>
      <c r="L56" s="100">
        <v>59</v>
      </c>
      <c r="M56" s="100">
        <v>56</v>
      </c>
      <c r="N56" s="2">
        <f>SUM(B56:M56)</f>
        <v>1460</v>
      </c>
      <c r="O56" s="2"/>
    </row>
    <row r="57" spans="1:15" x14ac:dyDescent="0.3">
      <c r="A57" s="95"/>
    </row>
  </sheetData>
  <mergeCells count="10">
    <mergeCell ref="N51:O51"/>
    <mergeCell ref="N52:O52"/>
    <mergeCell ref="B54:O54"/>
    <mergeCell ref="N55:O55"/>
    <mergeCell ref="N56:O56"/>
    <mergeCell ref="B44:O44"/>
    <mergeCell ref="B46:O46"/>
    <mergeCell ref="N47:O47"/>
    <mergeCell ref="N48:O48"/>
    <mergeCell ref="B50:O5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D2:BR173"/>
  <sheetViews>
    <sheetView showGridLines="0" tabSelected="1" topLeftCell="A18" zoomScale="25" zoomScaleNormal="25" workbookViewId="0">
      <selection activeCell="CC135" sqref="CC135"/>
    </sheetView>
  </sheetViews>
  <sheetFormatPr defaultColWidth="8.6640625" defaultRowHeight="14.4" x14ac:dyDescent="0.3"/>
  <cols>
    <col min="5" max="5" width="6" customWidth="1"/>
    <col min="6" max="6" width="14" customWidth="1"/>
    <col min="7" max="7" width="15.5546875" customWidth="1"/>
    <col min="8" max="8" width="11.109375" customWidth="1"/>
    <col min="9" max="9" width="11.33203125" customWidth="1"/>
    <col min="10" max="10" width="12.5546875" customWidth="1"/>
    <col min="11" max="11" width="12.33203125" customWidth="1"/>
    <col min="12" max="12" width="11.44140625" customWidth="1"/>
    <col min="13" max="13" width="13.109375" customWidth="1"/>
    <col min="14" max="14" width="18.44140625" customWidth="1"/>
    <col min="15" max="15" width="14.88671875" customWidth="1"/>
    <col min="16" max="16" width="17" customWidth="1"/>
    <col min="17" max="17" width="16" customWidth="1"/>
    <col min="19" max="19" width="15.109375" customWidth="1"/>
  </cols>
  <sheetData>
    <row r="2" spans="4:70" ht="40.5" customHeight="1" x14ac:dyDescent="0.3"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</row>
    <row r="3" spans="4:70" x14ac:dyDescent="0.3"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</row>
    <row r="4" spans="4:70" x14ac:dyDescent="0.3"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</row>
    <row r="5" spans="4:70" x14ac:dyDescent="0.3"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</row>
    <row r="6" spans="4:70" x14ac:dyDescent="0.3"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</row>
    <row r="7" spans="4:70" x14ac:dyDescent="0.3"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</row>
    <row r="8" spans="4:70" x14ac:dyDescent="0.3"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</row>
    <row r="9" spans="4:70" x14ac:dyDescent="0.3"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</row>
    <row r="10" spans="4:70" x14ac:dyDescent="0.3"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</row>
    <row r="11" spans="4:70" x14ac:dyDescent="0.3"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</row>
    <row r="12" spans="4:70" x14ac:dyDescent="0.3"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</row>
    <row r="13" spans="4:70" x14ac:dyDescent="0.3"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</row>
    <row r="14" spans="4:70" x14ac:dyDescent="0.3"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5"/>
    </row>
    <row r="15" spans="4:70" x14ac:dyDescent="0.3"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5"/>
      <c r="BQ15" s="95"/>
      <c r="BR15" s="95"/>
    </row>
    <row r="16" spans="4:70" x14ac:dyDescent="0.3"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</row>
    <row r="17" spans="4:70" x14ac:dyDescent="0.3"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5"/>
      <c r="BQ17" s="95"/>
      <c r="BR17" s="95"/>
    </row>
    <row r="18" spans="4:70" x14ac:dyDescent="0.3"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5"/>
      <c r="BQ18" s="95"/>
      <c r="BR18" s="95"/>
    </row>
    <row r="19" spans="4:70" x14ac:dyDescent="0.3"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5"/>
      <c r="BQ19" s="95"/>
      <c r="BR19" s="95"/>
    </row>
    <row r="20" spans="4:70" x14ac:dyDescent="0.3"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</row>
    <row r="21" spans="4:70" x14ac:dyDescent="0.3"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</row>
    <row r="22" spans="4:70" x14ac:dyDescent="0.3"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5"/>
      <c r="BQ22" s="95"/>
      <c r="BR22" s="95"/>
    </row>
    <row r="23" spans="4:70" x14ac:dyDescent="0.3"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5"/>
      <c r="BQ23" s="95"/>
      <c r="BR23" s="95"/>
    </row>
    <row r="24" spans="4:70" x14ac:dyDescent="0.3"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</row>
    <row r="25" spans="4:70" x14ac:dyDescent="0.3"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</row>
    <row r="26" spans="4:70" x14ac:dyDescent="0.3"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5"/>
      <c r="BQ26" s="95"/>
      <c r="BR26" s="95"/>
    </row>
    <row r="27" spans="4:70" x14ac:dyDescent="0.3"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5"/>
      <c r="BQ27" s="95"/>
      <c r="BR27" s="95"/>
    </row>
    <row r="28" spans="4:70" x14ac:dyDescent="0.3"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</row>
    <row r="29" spans="4:70" x14ac:dyDescent="0.3"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</row>
    <row r="30" spans="4:70" x14ac:dyDescent="0.3"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5"/>
      <c r="BQ30" s="95"/>
      <c r="BR30" s="95"/>
    </row>
    <row r="31" spans="4:70" x14ac:dyDescent="0.3"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5"/>
      <c r="BQ31" s="95"/>
      <c r="BR31" s="95"/>
    </row>
    <row r="32" spans="4:70" ht="84" customHeight="1" x14ac:dyDescent="0.3"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</row>
    <row r="33" spans="4:70" x14ac:dyDescent="0.3"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5"/>
      <c r="BQ33" s="95"/>
      <c r="BR33" s="95"/>
    </row>
    <row r="34" spans="4:70" x14ac:dyDescent="0.3"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5"/>
      <c r="BQ34" s="95"/>
      <c r="BR34" s="95"/>
    </row>
    <row r="35" spans="4:70" x14ac:dyDescent="0.3"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</row>
    <row r="36" spans="4:70" x14ac:dyDescent="0.3"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</row>
    <row r="37" spans="4:70" x14ac:dyDescent="0.3"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5"/>
      <c r="BQ37" s="95"/>
      <c r="BR37" s="95"/>
    </row>
    <row r="38" spans="4:70" x14ac:dyDescent="0.3"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5"/>
      <c r="BQ38" s="95"/>
      <c r="BR38" s="95"/>
    </row>
    <row r="39" spans="4:70" x14ac:dyDescent="0.3"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5"/>
      <c r="BQ39" s="95"/>
      <c r="BR39" s="95"/>
    </row>
    <row r="40" spans="4:70" x14ac:dyDescent="0.3"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</row>
    <row r="41" spans="4:70" x14ac:dyDescent="0.3"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</row>
    <row r="42" spans="4:70" x14ac:dyDescent="0.3"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</row>
    <row r="43" spans="4:70" x14ac:dyDescent="0.3"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</row>
    <row r="44" spans="4:70" x14ac:dyDescent="0.3"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</row>
    <row r="45" spans="4:70" x14ac:dyDescent="0.3"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</row>
    <row r="46" spans="4:70" x14ac:dyDescent="0.3"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5"/>
      <c r="BQ46" s="95"/>
      <c r="BR46" s="95"/>
    </row>
    <row r="47" spans="4:70" x14ac:dyDescent="0.3"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</row>
    <row r="48" spans="4:70" x14ac:dyDescent="0.3"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</row>
    <row r="49" spans="4:70" x14ac:dyDescent="0.3"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</row>
    <row r="50" spans="4:70" x14ac:dyDescent="0.3"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</row>
    <row r="51" spans="4:70" x14ac:dyDescent="0.3"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</row>
    <row r="52" spans="4:70" x14ac:dyDescent="0.3"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</row>
    <row r="53" spans="4:70" x14ac:dyDescent="0.3"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</row>
    <row r="54" spans="4:70" x14ac:dyDescent="0.3"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</row>
    <row r="55" spans="4:70" x14ac:dyDescent="0.3"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</row>
    <row r="56" spans="4:70" x14ac:dyDescent="0.3"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5"/>
      <c r="BL56" s="95"/>
      <c r="BM56" s="95"/>
      <c r="BN56" s="95"/>
      <c r="BO56" s="95"/>
      <c r="BP56" s="95"/>
      <c r="BQ56" s="95"/>
      <c r="BR56" s="95"/>
    </row>
    <row r="57" spans="4:70" x14ac:dyDescent="0.3"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</row>
    <row r="58" spans="4:70" x14ac:dyDescent="0.3"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</row>
    <row r="59" spans="4:70" x14ac:dyDescent="0.3"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</row>
    <row r="60" spans="4:70" x14ac:dyDescent="0.3"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</row>
    <row r="61" spans="4:70" x14ac:dyDescent="0.3"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</row>
    <row r="62" spans="4:70" x14ac:dyDescent="0.3"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</row>
    <row r="63" spans="4:70" x14ac:dyDescent="0.3"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</row>
    <row r="64" spans="4:70" x14ac:dyDescent="0.3"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</row>
    <row r="65" spans="4:70" x14ac:dyDescent="0.3"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</row>
    <row r="66" spans="4:70" x14ac:dyDescent="0.3"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</row>
    <row r="67" spans="4:70" x14ac:dyDescent="0.3"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</row>
    <row r="68" spans="4:70" x14ac:dyDescent="0.3"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</row>
    <row r="69" spans="4:70" x14ac:dyDescent="0.3"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</row>
    <row r="70" spans="4:70" x14ac:dyDescent="0.3"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5"/>
      <c r="BP70" s="95"/>
      <c r="BQ70" s="95"/>
      <c r="BR70" s="95"/>
    </row>
    <row r="71" spans="4:70" x14ac:dyDescent="0.3"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</row>
    <row r="72" spans="4:70" x14ac:dyDescent="0.3"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</row>
    <row r="73" spans="4:70" x14ac:dyDescent="0.3"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5"/>
      <c r="BP73" s="95"/>
      <c r="BQ73" s="95"/>
      <c r="BR73" s="95"/>
    </row>
    <row r="74" spans="4:70" x14ac:dyDescent="0.3"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5"/>
      <c r="BP74" s="95"/>
      <c r="BQ74" s="95"/>
      <c r="BR74" s="95"/>
    </row>
    <row r="75" spans="4:70" x14ac:dyDescent="0.3"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</row>
    <row r="76" spans="4:70" x14ac:dyDescent="0.3"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95"/>
      <c r="BR76" s="95"/>
    </row>
    <row r="77" spans="4:70" x14ac:dyDescent="0.3"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95"/>
      <c r="BP77" s="95"/>
      <c r="BQ77" s="95"/>
      <c r="BR77" s="95"/>
    </row>
    <row r="78" spans="4:70" x14ac:dyDescent="0.3"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5"/>
      <c r="BP78" s="95"/>
      <c r="BQ78" s="95"/>
      <c r="BR78" s="95"/>
    </row>
    <row r="79" spans="4:70" x14ac:dyDescent="0.3"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5"/>
      <c r="BP79" s="95"/>
      <c r="BQ79" s="95"/>
      <c r="BR79" s="95"/>
    </row>
    <row r="80" spans="4:70" x14ac:dyDescent="0.3"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</row>
    <row r="81" spans="4:70" x14ac:dyDescent="0.3"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5"/>
      <c r="BP81" s="95"/>
      <c r="BQ81" s="95"/>
      <c r="BR81" s="95"/>
    </row>
    <row r="82" spans="4:70" x14ac:dyDescent="0.3"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5"/>
      <c r="BP82" s="95"/>
      <c r="BQ82" s="95"/>
      <c r="BR82" s="95"/>
    </row>
    <row r="83" spans="4:70" x14ac:dyDescent="0.3"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5"/>
      <c r="BP83" s="95"/>
      <c r="BQ83" s="95"/>
      <c r="BR83" s="95"/>
    </row>
    <row r="84" spans="4:70" x14ac:dyDescent="0.3"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95"/>
      <c r="BP84" s="95"/>
      <c r="BQ84" s="95"/>
      <c r="BR84" s="95"/>
    </row>
    <row r="85" spans="4:70" x14ac:dyDescent="0.3"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5"/>
      <c r="BP85" s="95"/>
      <c r="BQ85" s="95"/>
      <c r="BR85" s="95"/>
    </row>
    <row r="86" spans="4:70" x14ac:dyDescent="0.3"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  <c r="BM86" s="95"/>
      <c r="BN86" s="95"/>
      <c r="BO86" s="95"/>
      <c r="BP86" s="95"/>
      <c r="BQ86" s="95"/>
      <c r="BR86" s="95"/>
    </row>
    <row r="87" spans="4:70" x14ac:dyDescent="0.3"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5"/>
      <c r="BP87" s="95"/>
      <c r="BQ87" s="95"/>
      <c r="BR87" s="95"/>
    </row>
    <row r="88" spans="4:70" x14ac:dyDescent="0.3"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5"/>
      <c r="BP88" s="95"/>
      <c r="BQ88" s="95"/>
      <c r="BR88" s="95"/>
    </row>
    <row r="89" spans="4:70" x14ac:dyDescent="0.3"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5"/>
      <c r="BP89" s="95"/>
      <c r="BQ89" s="95"/>
      <c r="BR89" s="95"/>
    </row>
    <row r="90" spans="4:70" x14ac:dyDescent="0.3"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5"/>
      <c r="BP90" s="95"/>
      <c r="BQ90" s="95"/>
      <c r="BR90" s="95"/>
    </row>
    <row r="91" spans="4:70" x14ac:dyDescent="0.3"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5"/>
      <c r="BP91" s="95"/>
      <c r="BQ91" s="95"/>
      <c r="BR91" s="95"/>
    </row>
    <row r="92" spans="4:70" x14ac:dyDescent="0.3"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5"/>
      <c r="BP92" s="95"/>
      <c r="BQ92" s="95"/>
      <c r="BR92" s="95"/>
    </row>
    <row r="93" spans="4:70" x14ac:dyDescent="0.3"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5"/>
      <c r="BP93" s="95"/>
      <c r="BQ93" s="95"/>
      <c r="BR93" s="95"/>
    </row>
    <row r="94" spans="4:70" x14ac:dyDescent="0.3"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5"/>
      <c r="BP94" s="95"/>
      <c r="BQ94" s="95"/>
      <c r="BR94" s="95"/>
    </row>
    <row r="95" spans="4:70" ht="24.75" customHeight="1" x14ac:dyDescent="0.3"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5"/>
      <c r="BP95" s="95"/>
      <c r="BQ95" s="95"/>
      <c r="BR95" s="95"/>
    </row>
    <row r="96" spans="4:70" ht="22.8" x14ac:dyDescent="0.3"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6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5"/>
      <c r="BP96" s="95"/>
      <c r="BQ96" s="95"/>
      <c r="BR96" s="95"/>
    </row>
    <row r="97" spans="4:70" ht="22.8" x14ac:dyDescent="0.3"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7"/>
      <c r="T97" s="96"/>
      <c r="U97" s="96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5"/>
      <c r="BP97" s="95"/>
      <c r="BQ97" s="95"/>
      <c r="BR97" s="95"/>
    </row>
    <row r="98" spans="4:70" x14ac:dyDescent="0.3"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5"/>
      <c r="BP98" s="95"/>
      <c r="BQ98" s="95"/>
      <c r="BR98" s="95"/>
    </row>
    <row r="99" spans="4:70" x14ac:dyDescent="0.3"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5"/>
      <c r="BP99" s="95"/>
      <c r="BQ99" s="95"/>
      <c r="BR99" s="95"/>
    </row>
    <row r="100" spans="4:70" x14ac:dyDescent="0.3"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5"/>
      <c r="BP100" s="95"/>
      <c r="BQ100" s="95"/>
      <c r="BR100" s="95"/>
    </row>
    <row r="101" spans="4:70" x14ac:dyDescent="0.3"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5"/>
      <c r="BP101" s="95"/>
      <c r="BQ101" s="95"/>
      <c r="BR101" s="95"/>
    </row>
    <row r="102" spans="4:70" x14ac:dyDescent="0.3"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5"/>
      <c r="BP102" s="95"/>
      <c r="BQ102" s="95"/>
      <c r="BR102" s="95"/>
    </row>
    <row r="103" spans="4:70" x14ac:dyDescent="0.3"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5"/>
      <c r="BP103" s="95"/>
      <c r="BQ103" s="95"/>
      <c r="BR103" s="95"/>
    </row>
    <row r="104" spans="4:70" x14ac:dyDescent="0.3"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5"/>
      <c r="BP104" s="95"/>
      <c r="BQ104" s="95"/>
      <c r="BR104" s="95"/>
    </row>
    <row r="105" spans="4:70" x14ac:dyDescent="0.3"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5"/>
      <c r="BP105" s="95"/>
      <c r="BQ105" s="95"/>
      <c r="BR105" s="95"/>
    </row>
    <row r="106" spans="4:70" x14ac:dyDescent="0.3"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5"/>
      <c r="BP106" s="95"/>
      <c r="BQ106" s="95"/>
      <c r="BR106" s="95"/>
    </row>
    <row r="107" spans="4:70" x14ac:dyDescent="0.3"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5"/>
      <c r="BP107" s="95"/>
      <c r="BQ107" s="95"/>
      <c r="BR107" s="95"/>
    </row>
    <row r="108" spans="4:70" x14ac:dyDescent="0.3"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5"/>
      <c r="BP108" s="95"/>
      <c r="BQ108" s="95"/>
      <c r="BR108" s="95"/>
    </row>
    <row r="109" spans="4:70" x14ac:dyDescent="0.3"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5"/>
      <c r="BP109" s="95"/>
      <c r="BQ109" s="95"/>
      <c r="BR109" s="95"/>
    </row>
    <row r="110" spans="4:70" x14ac:dyDescent="0.3"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5"/>
      <c r="BP110" s="95"/>
      <c r="BQ110" s="95"/>
      <c r="BR110" s="95"/>
    </row>
    <row r="111" spans="4:70" ht="22.8" x14ac:dyDescent="0.3"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6"/>
      <c r="W111" s="96"/>
      <c r="X111" s="96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5"/>
      <c r="BP111" s="95"/>
      <c r="BQ111" s="95"/>
      <c r="BR111" s="95"/>
    </row>
    <row r="112" spans="4:70" x14ac:dyDescent="0.3"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5"/>
      <c r="BP112" s="95"/>
      <c r="BQ112" s="95"/>
      <c r="BR112" s="95"/>
    </row>
    <row r="113" spans="4:70" x14ac:dyDescent="0.3"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  <c r="BM113" s="95"/>
      <c r="BN113" s="95"/>
      <c r="BO113" s="95"/>
      <c r="BP113" s="95"/>
      <c r="BQ113" s="95"/>
      <c r="BR113" s="95"/>
    </row>
    <row r="114" spans="4:70" x14ac:dyDescent="0.3"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  <c r="AY114" s="95"/>
      <c r="AZ114" s="95"/>
      <c r="BA114" s="95"/>
      <c r="BB114" s="95"/>
      <c r="BC114" s="95"/>
      <c r="BD114" s="95"/>
      <c r="BE114" s="95"/>
      <c r="BF114" s="95"/>
      <c r="BG114" s="95"/>
      <c r="BH114" s="95"/>
      <c r="BI114" s="95"/>
      <c r="BJ114" s="95"/>
      <c r="BK114" s="95"/>
      <c r="BL114" s="95"/>
      <c r="BM114" s="95"/>
      <c r="BN114" s="95"/>
      <c r="BO114" s="95"/>
      <c r="BP114" s="95"/>
      <c r="BQ114" s="95"/>
      <c r="BR114" s="95"/>
    </row>
    <row r="115" spans="4:70" x14ac:dyDescent="0.3"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/>
      <c r="AX115" s="95"/>
      <c r="AY115" s="95"/>
      <c r="AZ115" s="95"/>
      <c r="BA115" s="95"/>
      <c r="BB115" s="95"/>
      <c r="BC115" s="95"/>
      <c r="BD115" s="95"/>
      <c r="BE115" s="95"/>
      <c r="BF115" s="95"/>
      <c r="BG115" s="95"/>
      <c r="BH115" s="95"/>
      <c r="BI115" s="95"/>
      <c r="BJ115" s="95"/>
      <c r="BK115" s="95"/>
      <c r="BL115" s="95"/>
      <c r="BM115" s="95"/>
      <c r="BN115" s="95"/>
      <c r="BO115" s="95"/>
      <c r="BP115" s="95"/>
      <c r="BQ115" s="95"/>
      <c r="BR115" s="95"/>
    </row>
    <row r="116" spans="4:70" x14ac:dyDescent="0.3"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/>
      <c r="AY116" s="95"/>
      <c r="AZ116" s="9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/>
      <c r="BM116" s="95"/>
      <c r="BN116" s="95"/>
      <c r="BO116" s="95"/>
      <c r="BP116" s="95"/>
      <c r="BQ116" s="95"/>
      <c r="BR116" s="95"/>
    </row>
    <row r="117" spans="4:70" x14ac:dyDescent="0.3"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95"/>
      <c r="AW117" s="95"/>
      <c r="AX117" s="95"/>
      <c r="AY117" s="95"/>
      <c r="AZ117" s="95"/>
      <c r="BA117" s="95"/>
      <c r="BB117" s="95"/>
      <c r="BC117" s="95"/>
      <c r="BD117" s="95"/>
      <c r="BE117" s="95"/>
      <c r="BF117" s="95"/>
      <c r="BG117" s="95"/>
      <c r="BH117" s="95"/>
      <c r="BI117" s="95"/>
      <c r="BJ117" s="95"/>
      <c r="BK117" s="95"/>
      <c r="BL117" s="95"/>
      <c r="BM117" s="95"/>
      <c r="BN117" s="95"/>
      <c r="BO117" s="95"/>
      <c r="BP117" s="95"/>
      <c r="BQ117" s="95"/>
      <c r="BR117" s="95"/>
    </row>
    <row r="118" spans="4:70" x14ac:dyDescent="0.3"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/>
      <c r="AX118" s="95"/>
      <c r="AY118" s="95"/>
      <c r="AZ118" s="95"/>
      <c r="BA118" s="95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  <c r="BM118" s="95"/>
      <c r="BN118" s="95"/>
      <c r="BO118" s="95"/>
      <c r="BP118" s="95"/>
      <c r="BQ118" s="95"/>
      <c r="BR118" s="95"/>
    </row>
    <row r="119" spans="4:70" x14ac:dyDescent="0.3"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/>
      <c r="AX119" s="95"/>
      <c r="AY119" s="95"/>
      <c r="AZ119" s="95"/>
      <c r="BA119" s="95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  <c r="BM119" s="95"/>
      <c r="BN119" s="95"/>
      <c r="BO119" s="95"/>
      <c r="BP119" s="95"/>
      <c r="BQ119" s="95"/>
      <c r="BR119" s="95"/>
    </row>
    <row r="120" spans="4:70" x14ac:dyDescent="0.3"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  <c r="AU120" s="95"/>
      <c r="AV120" s="95"/>
      <c r="AW120" s="95"/>
      <c r="AX120" s="95"/>
      <c r="AY120" s="95"/>
      <c r="AZ120" s="95"/>
      <c r="BA120" s="95"/>
      <c r="BB120" s="95"/>
      <c r="BC120" s="95"/>
      <c r="BD120" s="95"/>
      <c r="BE120" s="95"/>
      <c r="BF120" s="95"/>
      <c r="BG120" s="95"/>
      <c r="BH120" s="95"/>
      <c r="BI120" s="95"/>
      <c r="BJ120" s="95"/>
      <c r="BK120" s="95"/>
      <c r="BL120" s="95"/>
      <c r="BM120" s="95"/>
      <c r="BN120" s="95"/>
      <c r="BO120" s="95"/>
      <c r="BP120" s="95"/>
      <c r="BQ120" s="95"/>
      <c r="BR120" s="95"/>
    </row>
    <row r="121" spans="4:70" x14ac:dyDescent="0.3"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95"/>
      <c r="AW121" s="95"/>
      <c r="AX121" s="95"/>
      <c r="AY121" s="95"/>
      <c r="AZ121" s="95"/>
      <c r="BA121" s="95"/>
      <c r="BB121" s="95"/>
      <c r="BC121" s="95"/>
      <c r="BD121" s="95"/>
      <c r="BE121" s="95"/>
      <c r="BF121" s="95"/>
      <c r="BG121" s="95"/>
      <c r="BH121" s="95"/>
      <c r="BI121" s="95"/>
      <c r="BJ121" s="95"/>
      <c r="BK121" s="95"/>
      <c r="BL121" s="95"/>
      <c r="BM121" s="95"/>
      <c r="BN121" s="95"/>
      <c r="BO121" s="95"/>
      <c r="BP121" s="95"/>
      <c r="BQ121" s="95"/>
      <c r="BR121" s="95"/>
    </row>
    <row r="122" spans="4:70" x14ac:dyDescent="0.3"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  <c r="AY122" s="95"/>
      <c r="AZ122" s="95"/>
      <c r="BA122" s="95"/>
      <c r="BB122" s="95"/>
      <c r="BC122" s="95"/>
      <c r="BD122" s="95"/>
      <c r="BE122" s="95"/>
      <c r="BF122" s="95"/>
      <c r="BG122" s="95"/>
      <c r="BH122" s="95"/>
      <c r="BI122" s="95"/>
      <c r="BJ122" s="95"/>
      <c r="BK122" s="95"/>
      <c r="BL122" s="95"/>
      <c r="BM122" s="95"/>
      <c r="BN122" s="95"/>
      <c r="BO122" s="95"/>
      <c r="BP122" s="95"/>
      <c r="BQ122" s="95"/>
      <c r="BR122" s="95"/>
    </row>
    <row r="123" spans="4:70" x14ac:dyDescent="0.3"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/>
      <c r="AX123" s="95"/>
      <c r="AY123" s="95"/>
      <c r="AZ123" s="95"/>
      <c r="BA123" s="95"/>
      <c r="BB123" s="95"/>
      <c r="BC123" s="95"/>
      <c r="BD123" s="95"/>
      <c r="BE123" s="95"/>
      <c r="BF123" s="95"/>
      <c r="BG123" s="95"/>
      <c r="BH123" s="95"/>
      <c r="BI123" s="95"/>
      <c r="BJ123" s="95"/>
      <c r="BK123" s="95"/>
      <c r="BL123" s="95"/>
      <c r="BM123" s="95"/>
      <c r="BN123" s="95"/>
      <c r="BO123" s="95"/>
      <c r="BP123" s="95"/>
      <c r="BQ123" s="95"/>
      <c r="BR123" s="95"/>
    </row>
    <row r="124" spans="4:70" x14ac:dyDescent="0.3"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95"/>
      <c r="AY124" s="95"/>
      <c r="AZ124" s="95"/>
      <c r="BA124" s="95"/>
      <c r="BB124" s="95"/>
      <c r="BC124" s="95"/>
      <c r="BD124" s="95"/>
      <c r="BE124" s="95"/>
      <c r="BF124" s="95"/>
      <c r="BG124" s="95"/>
      <c r="BH124" s="95"/>
      <c r="BI124" s="95"/>
      <c r="BJ124" s="95"/>
      <c r="BK124" s="95"/>
      <c r="BL124" s="95"/>
      <c r="BM124" s="95"/>
      <c r="BN124" s="95"/>
      <c r="BO124" s="95"/>
      <c r="BP124" s="95"/>
      <c r="BQ124" s="95"/>
      <c r="BR124" s="95"/>
    </row>
    <row r="125" spans="4:70" x14ac:dyDescent="0.3"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  <c r="AZ125" s="95"/>
      <c r="BA125" s="95"/>
      <c r="BB125" s="95"/>
      <c r="BC125" s="95"/>
      <c r="BD125" s="95"/>
      <c r="BE125" s="95"/>
      <c r="BF125" s="95"/>
      <c r="BG125" s="95"/>
      <c r="BH125" s="95"/>
      <c r="BI125" s="95"/>
      <c r="BJ125" s="95"/>
      <c r="BK125" s="95"/>
      <c r="BL125" s="95"/>
      <c r="BM125" s="95"/>
      <c r="BN125" s="95"/>
      <c r="BO125" s="95"/>
      <c r="BP125" s="95"/>
      <c r="BQ125" s="95"/>
      <c r="BR125" s="95"/>
    </row>
    <row r="126" spans="4:70" x14ac:dyDescent="0.3"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  <c r="AY126" s="95"/>
      <c r="AZ126" s="95"/>
      <c r="BA126" s="95"/>
      <c r="BB126" s="95"/>
      <c r="BC126" s="95"/>
      <c r="BD126" s="95"/>
      <c r="BE126" s="95"/>
      <c r="BF126" s="95"/>
      <c r="BG126" s="95"/>
      <c r="BH126" s="95"/>
      <c r="BI126" s="95"/>
      <c r="BJ126" s="95"/>
      <c r="BK126" s="95"/>
      <c r="BL126" s="95"/>
      <c r="BM126" s="95"/>
      <c r="BN126" s="95"/>
      <c r="BO126" s="95"/>
      <c r="BP126" s="95"/>
      <c r="BQ126" s="95"/>
      <c r="BR126" s="95"/>
    </row>
    <row r="127" spans="4:70" x14ac:dyDescent="0.3"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  <c r="AY127" s="95"/>
      <c r="AZ127" s="95"/>
      <c r="BA127" s="95"/>
      <c r="BB127" s="95"/>
      <c r="BC127" s="95"/>
      <c r="BD127" s="95"/>
      <c r="BE127" s="95"/>
      <c r="BF127" s="95"/>
      <c r="BG127" s="95"/>
      <c r="BH127" s="95"/>
      <c r="BI127" s="95"/>
      <c r="BJ127" s="95"/>
      <c r="BK127" s="95"/>
      <c r="BL127" s="95"/>
      <c r="BM127" s="95"/>
      <c r="BN127" s="95"/>
      <c r="BO127" s="95"/>
      <c r="BP127" s="95"/>
      <c r="BQ127" s="95"/>
      <c r="BR127" s="95"/>
    </row>
    <row r="128" spans="4:70" x14ac:dyDescent="0.3"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  <c r="AY128" s="95"/>
      <c r="AZ128" s="95"/>
      <c r="BA128" s="95"/>
      <c r="BB128" s="95"/>
      <c r="BC128" s="95"/>
      <c r="BD128" s="95"/>
      <c r="BE128" s="95"/>
      <c r="BF128" s="95"/>
      <c r="BG128" s="95"/>
      <c r="BH128" s="95"/>
      <c r="BI128" s="95"/>
      <c r="BJ128" s="95"/>
      <c r="BK128" s="95"/>
      <c r="BL128" s="95"/>
      <c r="BM128" s="95"/>
      <c r="BN128" s="95"/>
      <c r="BO128" s="95"/>
      <c r="BP128" s="95"/>
      <c r="BQ128" s="95"/>
      <c r="BR128" s="95"/>
    </row>
    <row r="129" spans="4:70" x14ac:dyDescent="0.3"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  <c r="AY129" s="95"/>
      <c r="AZ129" s="95"/>
      <c r="BA129" s="95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  <c r="BM129" s="95"/>
      <c r="BN129" s="95"/>
      <c r="BO129" s="95"/>
      <c r="BP129" s="95"/>
      <c r="BQ129" s="95"/>
      <c r="BR129" s="95"/>
    </row>
    <row r="130" spans="4:70" x14ac:dyDescent="0.3"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  <c r="AY130" s="95"/>
      <c r="AZ130" s="95"/>
      <c r="BA130" s="95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  <c r="BM130" s="95"/>
      <c r="BN130" s="95"/>
      <c r="BO130" s="95"/>
      <c r="BP130" s="95"/>
      <c r="BQ130" s="95"/>
      <c r="BR130" s="95"/>
    </row>
    <row r="131" spans="4:70" x14ac:dyDescent="0.3"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  <c r="AZ131" s="95"/>
      <c r="BA131" s="95"/>
      <c r="BB131" s="95"/>
      <c r="BC131" s="95"/>
      <c r="BD131" s="95"/>
      <c r="BE131" s="95"/>
      <c r="BF131" s="95"/>
      <c r="BG131" s="95"/>
      <c r="BH131" s="95"/>
      <c r="BI131" s="95"/>
      <c r="BJ131" s="95"/>
      <c r="BK131" s="95"/>
      <c r="BL131" s="95"/>
      <c r="BM131" s="95"/>
      <c r="BN131" s="95"/>
      <c r="BO131" s="95"/>
      <c r="BP131" s="95"/>
      <c r="BQ131" s="95"/>
      <c r="BR131" s="95"/>
    </row>
    <row r="132" spans="4:70" x14ac:dyDescent="0.3"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  <c r="AY132" s="95"/>
      <c r="AZ132" s="95"/>
      <c r="BA132" s="95"/>
      <c r="BB132" s="95"/>
      <c r="BC132" s="95"/>
      <c r="BD132" s="95"/>
      <c r="BE132" s="95"/>
      <c r="BF132" s="95"/>
      <c r="BG132" s="95"/>
      <c r="BH132" s="95"/>
      <c r="BI132" s="95"/>
      <c r="BJ132" s="95"/>
      <c r="BK132" s="95"/>
      <c r="BL132" s="95"/>
      <c r="BM132" s="95"/>
      <c r="BN132" s="95"/>
      <c r="BO132" s="95"/>
      <c r="BP132" s="95"/>
      <c r="BQ132" s="95"/>
      <c r="BR132" s="95"/>
    </row>
    <row r="133" spans="4:70" x14ac:dyDescent="0.3"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  <c r="AY133" s="95"/>
      <c r="AZ133" s="95"/>
      <c r="BA133" s="95"/>
      <c r="BB133" s="95"/>
      <c r="BC133" s="95"/>
      <c r="BD133" s="95"/>
      <c r="BE133" s="95"/>
      <c r="BF133" s="95"/>
      <c r="BG133" s="95"/>
      <c r="BH133" s="95"/>
      <c r="BI133" s="95"/>
      <c r="BJ133" s="95"/>
      <c r="BK133" s="95"/>
      <c r="BL133" s="95"/>
      <c r="BM133" s="95"/>
      <c r="BN133" s="95"/>
      <c r="BO133" s="95"/>
      <c r="BP133" s="95"/>
      <c r="BQ133" s="95"/>
      <c r="BR133" s="95"/>
    </row>
    <row r="134" spans="4:70" x14ac:dyDescent="0.3"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/>
      <c r="AT134" s="95"/>
      <c r="AU134" s="95"/>
      <c r="AV134" s="95"/>
      <c r="AW134" s="95"/>
      <c r="AX134" s="95"/>
      <c r="AY134" s="95"/>
      <c r="AZ134" s="95"/>
      <c r="BA134" s="95"/>
      <c r="BB134" s="95"/>
      <c r="BC134" s="95"/>
      <c r="BD134" s="95"/>
      <c r="BE134" s="95"/>
      <c r="BF134" s="95"/>
      <c r="BG134" s="95"/>
      <c r="BH134" s="95"/>
      <c r="BI134" s="95"/>
      <c r="BJ134" s="95"/>
      <c r="BK134" s="95"/>
      <c r="BL134" s="95"/>
      <c r="BM134" s="95"/>
      <c r="BN134" s="95"/>
      <c r="BO134" s="95"/>
      <c r="BP134" s="95"/>
      <c r="BQ134" s="95"/>
      <c r="BR134" s="95"/>
    </row>
    <row r="135" spans="4:70" x14ac:dyDescent="0.3"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  <c r="AY135" s="95"/>
      <c r="AZ135" s="95"/>
      <c r="BA135" s="95"/>
      <c r="BB135" s="95"/>
      <c r="BC135" s="95"/>
      <c r="BD135" s="95"/>
      <c r="BE135" s="95"/>
      <c r="BF135" s="95"/>
      <c r="BG135" s="95"/>
      <c r="BH135" s="95"/>
      <c r="BI135" s="95"/>
      <c r="BJ135" s="95"/>
      <c r="BK135" s="95"/>
      <c r="BL135" s="95"/>
      <c r="BM135" s="95"/>
      <c r="BN135" s="95"/>
      <c r="BO135" s="95"/>
      <c r="BP135" s="95"/>
      <c r="BQ135" s="95"/>
      <c r="BR135" s="95"/>
    </row>
    <row r="136" spans="4:70" x14ac:dyDescent="0.3"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  <c r="AY136" s="95"/>
      <c r="AZ136" s="95"/>
      <c r="BA136" s="95"/>
      <c r="BB136" s="95"/>
      <c r="BC136" s="95"/>
      <c r="BD136" s="95"/>
      <c r="BE136" s="95"/>
      <c r="BF136" s="95"/>
      <c r="BG136" s="95"/>
      <c r="BH136" s="95"/>
      <c r="BI136" s="95"/>
      <c r="BJ136" s="95"/>
      <c r="BK136" s="95"/>
      <c r="BL136" s="95"/>
      <c r="BM136" s="95"/>
      <c r="BN136" s="95"/>
      <c r="BO136" s="95"/>
      <c r="BP136" s="95"/>
      <c r="BQ136" s="95"/>
      <c r="BR136" s="95"/>
    </row>
    <row r="137" spans="4:70" x14ac:dyDescent="0.3"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  <c r="AY137" s="95"/>
      <c r="AZ137" s="95"/>
      <c r="BA137" s="95"/>
      <c r="BB137" s="95"/>
      <c r="BC137" s="95"/>
      <c r="BD137" s="95"/>
      <c r="BE137" s="95"/>
      <c r="BF137" s="95"/>
      <c r="BG137" s="95"/>
      <c r="BH137" s="95"/>
      <c r="BI137" s="95"/>
      <c r="BJ137" s="95"/>
      <c r="BK137" s="95"/>
      <c r="BL137" s="95"/>
      <c r="BM137" s="95"/>
      <c r="BN137" s="95"/>
      <c r="BO137" s="95"/>
      <c r="BP137" s="95"/>
      <c r="BQ137" s="95"/>
      <c r="BR137" s="95"/>
    </row>
    <row r="138" spans="4:70" x14ac:dyDescent="0.3"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  <c r="AY138" s="95"/>
      <c r="AZ138" s="95"/>
      <c r="BA138" s="95"/>
      <c r="BB138" s="95"/>
      <c r="BC138" s="95"/>
      <c r="BD138" s="95"/>
      <c r="BE138" s="95"/>
      <c r="BF138" s="95"/>
      <c r="BG138" s="95"/>
      <c r="BH138" s="95"/>
      <c r="BI138" s="95"/>
      <c r="BJ138" s="95"/>
      <c r="BK138" s="95"/>
      <c r="BL138" s="95"/>
      <c r="BM138" s="95"/>
      <c r="BN138" s="95"/>
      <c r="BO138" s="95"/>
      <c r="BP138" s="95"/>
      <c r="BQ138" s="95"/>
      <c r="BR138" s="95"/>
    </row>
    <row r="139" spans="4:70" x14ac:dyDescent="0.3"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  <c r="AY139" s="95"/>
      <c r="AZ139" s="95"/>
      <c r="BA139" s="95"/>
      <c r="BB139" s="95"/>
      <c r="BC139" s="95"/>
      <c r="BD139" s="95"/>
      <c r="BE139" s="95"/>
      <c r="BF139" s="95"/>
      <c r="BG139" s="95"/>
      <c r="BH139" s="95"/>
      <c r="BI139" s="95"/>
      <c r="BJ139" s="95"/>
      <c r="BK139" s="95"/>
      <c r="BL139" s="95"/>
      <c r="BM139" s="95"/>
      <c r="BN139" s="95"/>
      <c r="BO139" s="95"/>
      <c r="BP139" s="95"/>
      <c r="BQ139" s="95"/>
      <c r="BR139" s="95"/>
    </row>
    <row r="140" spans="4:70" x14ac:dyDescent="0.3"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  <c r="AY140" s="95"/>
      <c r="AZ140" s="95"/>
      <c r="BA140" s="95"/>
      <c r="BB140" s="95"/>
      <c r="BC140" s="95"/>
      <c r="BD140" s="95"/>
      <c r="BE140" s="95"/>
      <c r="BF140" s="95"/>
      <c r="BG140" s="95"/>
      <c r="BH140" s="95"/>
      <c r="BI140" s="95"/>
      <c r="BJ140" s="95"/>
      <c r="BK140" s="95"/>
      <c r="BL140" s="95"/>
      <c r="BM140" s="95"/>
      <c r="BN140" s="95"/>
      <c r="BO140" s="95"/>
      <c r="BP140" s="95"/>
      <c r="BQ140" s="95"/>
      <c r="BR140" s="95"/>
    </row>
    <row r="141" spans="4:70" x14ac:dyDescent="0.3"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  <c r="AY141" s="95"/>
      <c r="AZ141" s="95"/>
      <c r="BA141" s="95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  <c r="BM141" s="95"/>
      <c r="BN141" s="95"/>
      <c r="BO141" s="95"/>
      <c r="BP141" s="95"/>
      <c r="BQ141" s="95"/>
      <c r="BR141" s="95"/>
    </row>
    <row r="142" spans="4:70" x14ac:dyDescent="0.3"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s="95"/>
      <c r="AV142" s="95"/>
      <c r="AW142" s="95"/>
      <c r="AX142" s="95"/>
      <c r="AY142" s="95"/>
      <c r="AZ142" s="95"/>
      <c r="BA142" s="95"/>
      <c r="BB142" s="95"/>
      <c r="BC142" s="95"/>
      <c r="BD142" s="95"/>
      <c r="BE142" s="95"/>
      <c r="BF142" s="95"/>
      <c r="BG142" s="95"/>
      <c r="BH142" s="95"/>
      <c r="BI142" s="95"/>
      <c r="BJ142" s="95"/>
      <c r="BK142" s="95"/>
      <c r="BL142" s="95"/>
      <c r="BM142" s="95"/>
      <c r="BN142" s="95"/>
      <c r="BO142" s="95"/>
      <c r="BP142" s="95"/>
      <c r="BQ142" s="95"/>
      <c r="BR142" s="95"/>
    </row>
    <row r="143" spans="4:70" x14ac:dyDescent="0.3"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  <c r="AY143" s="95"/>
      <c r="AZ143" s="95"/>
      <c r="BA143" s="95"/>
      <c r="BB143" s="95"/>
      <c r="BC143" s="95"/>
      <c r="BD143" s="95"/>
      <c r="BE143" s="95"/>
      <c r="BF143" s="95"/>
      <c r="BG143" s="95"/>
      <c r="BH143" s="95"/>
      <c r="BI143" s="95"/>
      <c r="BJ143" s="95"/>
      <c r="BK143" s="95"/>
      <c r="BL143" s="95"/>
      <c r="BM143" s="95"/>
      <c r="BN143" s="95"/>
      <c r="BO143" s="95"/>
      <c r="BP143" s="95"/>
      <c r="BQ143" s="95"/>
      <c r="BR143" s="95"/>
    </row>
    <row r="144" spans="4:70" x14ac:dyDescent="0.3"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  <c r="AU144" s="95"/>
      <c r="AV144" s="95"/>
      <c r="AW144" s="95"/>
      <c r="AX144" s="95"/>
      <c r="AY144" s="95"/>
      <c r="AZ144" s="95"/>
      <c r="BA144" s="95"/>
      <c r="BB144" s="95"/>
      <c r="BC144" s="95"/>
      <c r="BD144" s="95"/>
      <c r="BE144" s="95"/>
      <c r="BF144" s="95"/>
      <c r="BG144" s="95"/>
      <c r="BH144" s="95"/>
      <c r="BI144" s="95"/>
      <c r="BJ144" s="95"/>
      <c r="BK144" s="95"/>
      <c r="BL144" s="95"/>
      <c r="BM144" s="95"/>
      <c r="BN144" s="95"/>
      <c r="BO144" s="95"/>
      <c r="BP144" s="95"/>
      <c r="BQ144" s="95"/>
      <c r="BR144" s="95"/>
    </row>
    <row r="145" spans="4:70" x14ac:dyDescent="0.3"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  <c r="AY145" s="95"/>
      <c r="AZ145" s="95"/>
      <c r="BA145" s="95"/>
      <c r="BB145" s="95"/>
      <c r="BC145" s="95"/>
      <c r="BD145" s="95"/>
      <c r="BE145" s="95"/>
      <c r="BF145" s="95"/>
      <c r="BG145" s="95"/>
      <c r="BH145" s="95"/>
      <c r="BI145" s="95"/>
      <c r="BJ145" s="95"/>
      <c r="BK145" s="95"/>
      <c r="BL145" s="95"/>
      <c r="BM145" s="95"/>
      <c r="BN145" s="95"/>
      <c r="BO145" s="95"/>
      <c r="BP145" s="95"/>
      <c r="BQ145" s="95"/>
      <c r="BR145" s="95"/>
    </row>
    <row r="146" spans="4:70" x14ac:dyDescent="0.3"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  <c r="AY146" s="95"/>
      <c r="AZ146" s="95"/>
      <c r="BA146" s="95"/>
      <c r="BB146" s="95"/>
      <c r="BC146" s="95"/>
      <c r="BD146" s="95"/>
      <c r="BE146" s="95"/>
      <c r="BF146" s="95"/>
      <c r="BG146" s="95"/>
      <c r="BH146" s="95"/>
      <c r="BI146" s="95"/>
      <c r="BJ146" s="95"/>
      <c r="BK146" s="95"/>
      <c r="BL146" s="95"/>
      <c r="BM146" s="95"/>
      <c r="BN146" s="95"/>
      <c r="BO146" s="95"/>
      <c r="BP146" s="95"/>
      <c r="BQ146" s="95"/>
      <c r="BR146" s="95"/>
    </row>
    <row r="147" spans="4:70" x14ac:dyDescent="0.3"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95"/>
      <c r="AW147" s="95"/>
      <c r="AX147" s="95"/>
      <c r="AY147" s="95"/>
      <c r="AZ147" s="95"/>
      <c r="BA147" s="95"/>
      <c r="BB147" s="95"/>
      <c r="BC147" s="95"/>
      <c r="BD147" s="95"/>
      <c r="BE147" s="95"/>
      <c r="BF147" s="95"/>
      <c r="BG147" s="95"/>
      <c r="BH147" s="95"/>
      <c r="BI147" s="95"/>
      <c r="BJ147" s="95"/>
      <c r="BK147" s="95"/>
      <c r="BL147" s="95"/>
      <c r="BM147" s="95"/>
      <c r="BN147" s="95"/>
      <c r="BO147" s="95"/>
      <c r="BP147" s="95"/>
      <c r="BQ147" s="95"/>
      <c r="BR147" s="95"/>
    </row>
    <row r="148" spans="4:70" x14ac:dyDescent="0.3"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/>
      <c r="AV148" s="95"/>
      <c r="AW148" s="95"/>
      <c r="AX148" s="95"/>
      <c r="AY148" s="95"/>
      <c r="AZ148" s="95"/>
      <c r="BA148" s="95"/>
      <c r="BB148" s="95"/>
      <c r="BC148" s="95"/>
      <c r="BD148" s="95"/>
      <c r="BE148" s="95"/>
      <c r="BF148" s="95"/>
      <c r="BG148" s="95"/>
      <c r="BH148" s="95"/>
      <c r="BI148" s="95"/>
      <c r="BJ148" s="95"/>
      <c r="BK148" s="95"/>
      <c r="BL148" s="95"/>
      <c r="BM148" s="95"/>
      <c r="BN148" s="95"/>
      <c r="BO148" s="95"/>
      <c r="BP148" s="95"/>
      <c r="BQ148" s="95"/>
      <c r="BR148" s="95"/>
    </row>
    <row r="149" spans="4:70" x14ac:dyDescent="0.3"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  <c r="AY149" s="95"/>
      <c r="AZ149" s="95"/>
      <c r="BA149" s="95"/>
      <c r="BB149" s="95"/>
      <c r="BC149" s="95"/>
      <c r="BD149" s="95"/>
      <c r="BE149" s="95"/>
      <c r="BF149" s="95"/>
      <c r="BG149" s="95"/>
      <c r="BH149" s="95"/>
      <c r="BI149" s="95"/>
      <c r="BJ149" s="95"/>
      <c r="BK149" s="95"/>
      <c r="BL149" s="95"/>
      <c r="BM149" s="95"/>
      <c r="BN149" s="95"/>
      <c r="BO149" s="95"/>
      <c r="BP149" s="95"/>
      <c r="BQ149" s="95"/>
      <c r="BR149" s="95"/>
    </row>
    <row r="150" spans="4:70" x14ac:dyDescent="0.3"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  <c r="AZ150" s="95"/>
      <c r="BA150" s="95"/>
      <c r="BB150" s="95"/>
      <c r="BC150" s="95"/>
      <c r="BD150" s="95"/>
      <c r="BE150" s="95"/>
      <c r="BF150" s="95"/>
      <c r="BG150" s="95"/>
      <c r="BH150" s="95"/>
      <c r="BI150" s="95"/>
      <c r="BJ150" s="95"/>
      <c r="BK150" s="95"/>
      <c r="BL150" s="95"/>
      <c r="BM150" s="95"/>
      <c r="BN150" s="95"/>
      <c r="BO150" s="95"/>
      <c r="BP150" s="95"/>
      <c r="BQ150" s="95"/>
      <c r="BR150" s="95"/>
    </row>
    <row r="151" spans="4:70" x14ac:dyDescent="0.3"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  <c r="AY151" s="95"/>
      <c r="AZ151" s="95"/>
      <c r="BA151" s="95"/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  <c r="BM151" s="95"/>
      <c r="BN151" s="95"/>
      <c r="BO151" s="95"/>
      <c r="BP151" s="95"/>
      <c r="BQ151" s="95"/>
      <c r="BR151" s="95"/>
    </row>
    <row r="152" spans="4:70" x14ac:dyDescent="0.3"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  <c r="AY152" s="95"/>
      <c r="AZ152" s="95"/>
      <c r="BA152" s="95"/>
      <c r="BB152" s="95"/>
      <c r="BC152" s="95"/>
      <c r="BD152" s="95"/>
      <c r="BE152" s="95"/>
      <c r="BF152" s="95"/>
      <c r="BG152" s="95"/>
      <c r="BH152" s="95"/>
      <c r="BI152" s="95"/>
      <c r="BJ152" s="95"/>
      <c r="BK152" s="95"/>
      <c r="BL152" s="95"/>
      <c r="BM152" s="95"/>
      <c r="BN152" s="95"/>
      <c r="BO152" s="95"/>
      <c r="BP152" s="95"/>
      <c r="BQ152" s="95"/>
      <c r="BR152" s="95"/>
    </row>
    <row r="153" spans="4:70" x14ac:dyDescent="0.3"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  <c r="AY153" s="95"/>
      <c r="AZ153" s="95"/>
      <c r="BA153" s="95"/>
      <c r="BB153" s="95"/>
      <c r="BC153" s="95"/>
      <c r="BD153" s="95"/>
      <c r="BE153" s="95"/>
      <c r="BF153" s="95"/>
      <c r="BG153" s="95"/>
      <c r="BH153" s="95"/>
      <c r="BI153" s="95"/>
      <c r="BJ153" s="95"/>
      <c r="BK153" s="95"/>
      <c r="BL153" s="95"/>
      <c r="BM153" s="95"/>
      <c r="BN153" s="95"/>
      <c r="BO153" s="95"/>
      <c r="BP153" s="95"/>
      <c r="BQ153" s="95"/>
      <c r="BR153" s="95"/>
    </row>
    <row r="154" spans="4:70" x14ac:dyDescent="0.3"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/>
      <c r="AX154" s="95"/>
      <c r="AY154" s="95"/>
      <c r="AZ154" s="95"/>
      <c r="BA154" s="95"/>
      <c r="BB154" s="95"/>
      <c r="BC154" s="95"/>
      <c r="BD154" s="95"/>
      <c r="BE154" s="95"/>
      <c r="BF154" s="95"/>
      <c r="BG154" s="95"/>
      <c r="BH154" s="95"/>
      <c r="BI154" s="95"/>
      <c r="BJ154" s="95"/>
      <c r="BK154" s="95"/>
      <c r="BL154" s="95"/>
      <c r="BM154" s="95"/>
      <c r="BN154" s="95"/>
      <c r="BO154" s="95"/>
      <c r="BP154" s="95"/>
      <c r="BQ154" s="95"/>
      <c r="BR154" s="95"/>
    </row>
    <row r="155" spans="4:70" x14ac:dyDescent="0.3"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  <c r="AY155" s="95"/>
      <c r="AZ155" s="95"/>
      <c r="BA155" s="95"/>
      <c r="BB155" s="95"/>
      <c r="BC155" s="95"/>
      <c r="BD155" s="95"/>
      <c r="BE155" s="95"/>
      <c r="BF155" s="95"/>
      <c r="BG155" s="95"/>
      <c r="BH155" s="95"/>
      <c r="BI155" s="95"/>
      <c r="BJ155" s="95"/>
      <c r="BK155" s="95"/>
      <c r="BL155" s="95"/>
      <c r="BM155" s="95"/>
      <c r="BN155" s="95"/>
      <c r="BO155" s="95"/>
      <c r="BP155" s="95"/>
      <c r="BQ155" s="95"/>
      <c r="BR155" s="95"/>
    </row>
    <row r="156" spans="4:70" x14ac:dyDescent="0.3"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  <c r="AW156" s="95"/>
      <c r="AX156" s="95"/>
      <c r="AY156" s="95"/>
      <c r="AZ156" s="95"/>
      <c r="BA156" s="95"/>
      <c r="BB156" s="95"/>
      <c r="BC156" s="95"/>
      <c r="BD156" s="95"/>
      <c r="BE156" s="95"/>
      <c r="BF156" s="95"/>
      <c r="BG156" s="95"/>
      <c r="BH156" s="95"/>
      <c r="BI156" s="95"/>
      <c r="BJ156" s="95"/>
      <c r="BK156" s="95"/>
      <c r="BL156" s="95"/>
      <c r="BM156" s="95"/>
      <c r="BN156" s="95"/>
      <c r="BO156" s="95"/>
      <c r="BP156" s="95"/>
      <c r="BQ156" s="95"/>
      <c r="BR156" s="95"/>
    </row>
    <row r="157" spans="4:70" x14ac:dyDescent="0.3"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  <c r="AY157" s="95"/>
      <c r="AZ157" s="95"/>
      <c r="BA157" s="95"/>
      <c r="BB157" s="95"/>
      <c r="BC157" s="95"/>
      <c r="BD157" s="95"/>
      <c r="BE157" s="95"/>
      <c r="BF157" s="95"/>
      <c r="BG157" s="95"/>
      <c r="BH157" s="95"/>
      <c r="BI157" s="95"/>
      <c r="BJ157" s="95"/>
      <c r="BK157" s="95"/>
      <c r="BL157" s="95"/>
      <c r="BM157" s="95"/>
      <c r="BN157" s="95"/>
      <c r="BO157" s="95"/>
      <c r="BP157" s="95"/>
      <c r="BQ157" s="95"/>
      <c r="BR157" s="95"/>
    </row>
    <row r="158" spans="4:70" x14ac:dyDescent="0.3"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  <c r="AW158" s="95"/>
      <c r="AX158" s="95"/>
      <c r="AY158" s="95"/>
      <c r="AZ158" s="95"/>
      <c r="BA158" s="95"/>
      <c r="BB158" s="95"/>
      <c r="BC158" s="95"/>
      <c r="BD158" s="95"/>
      <c r="BE158" s="95"/>
      <c r="BF158" s="95"/>
      <c r="BG158" s="95"/>
      <c r="BH158" s="95"/>
      <c r="BI158" s="95"/>
      <c r="BJ158" s="95"/>
      <c r="BK158" s="95"/>
      <c r="BL158" s="95"/>
      <c r="BM158" s="95"/>
      <c r="BN158" s="95"/>
      <c r="BO158" s="95"/>
      <c r="BP158" s="95"/>
      <c r="BQ158" s="95"/>
      <c r="BR158" s="95"/>
    </row>
    <row r="159" spans="4:70" x14ac:dyDescent="0.3"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  <c r="AY159" s="95"/>
      <c r="AZ159" s="95"/>
      <c r="BA159" s="95"/>
      <c r="BB159" s="95"/>
      <c r="BC159" s="95"/>
      <c r="BD159" s="95"/>
      <c r="BE159" s="95"/>
      <c r="BF159" s="95"/>
      <c r="BG159" s="95"/>
      <c r="BH159" s="95"/>
      <c r="BI159" s="95"/>
      <c r="BJ159" s="95"/>
      <c r="BK159" s="95"/>
      <c r="BL159" s="95"/>
      <c r="BM159" s="95"/>
      <c r="BN159" s="95"/>
      <c r="BO159" s="95"/>
      <c r="BP159" s="95"/>
      <c r="BQ159" s="95"/>
      <c r="BR159" s="95"/>
    </row>
    <row r="160" spans="4:70" x14ac:dyDescent="0.3"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  <c r="AW160" s="95"/>
      <c r="AX160" s="95"/>
      <c r="AY160" s="95"/>
      <c r="AZ160" s="95"/>
      <c r="BA160" s="95"/>
      <c r="BB160" s="95"/>
      <c r="BC160" s="95"/>
      <c r="BD160" s="95"/>
      <c r="BE160" s="95"/>
      <c r="BF160" s="95"/>
      <c r="BG160" s="95"/>
      <c r="BH160" s="95"/>
      <c r="BI160" s="95"/>
      <c r="BJ160" s="95"/>
      <c r="BK160" s="95"/>
      <c r="BL160" s="95"/>
      <c r="BM160" s="95"/>
      <c r="BN160" s="95"/>
      <c r="BO160" s="95"/>
      <c r="BP160" s="95"/>
      <c r="BQ160" s="95"/>
      <c r="BR160" s="95"/>
    </row>
    <row r="161" spans="4:70" x14ac:dyDescent="0.3"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/>
      <c r="BJ161" s="95"/>
      <c r="BK161" s="95"/>
      <c r="BL161" s="95"/>
      <c r="BM161" s="95"/>
      <c r="BN161" s="95"/>
      <c r="BO161" s="95"/>
      <c r="BP161" s="95"/>
      <c r="BQ161" s="95"/>
      <c r="BR161" s="95"/>
    </row>
    <row r="162" spans="4:70" x14ac:dyDescent="0.3"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/>
      <c r="AY162" s="95"/>
      <c r="AZ162" s="95"/>
      <c r="BA162" s="95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  <c r="BM162" s="95"/>
      <c r="BN162" s="95"/>
      <c r="BO162" s="95"/>
      <c r="BP162" s="95"/>
      <c r="BQ162" s="95"/>
      <c r="BR162" s="95"/>
    </row>
    <row r="163" spans="4:70" x14ac:dyDescent="0.3"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  <c r="AY163" s="95"/>
      <c r="AZ163" s="95"/>
      <c r="BA163" s="95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  <c r="BM163" s="95"/>
      <c r="BN163" s="95"/>
      <c r="BO163" s="95"/>
      <c r="BP163" s="95"/>
      <c r="BQ163" s="95"/>
      <c r="BR163" s="95"/>
    </row>
    <row r="164" spans="4:70" x14ac:dyDescent="0.3"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  <c r="AY164" s="95"/>
      <c r="AZ164" s="95"/>
      <c r="BA164" s="95"/>
      <c r="BB164" s="95"/>
      <c r="BC164" s="95"/>
      <c r="BD164" s="95"/>
      <c r="BE164" s="95"/>
      <c r="BF164" s="95"/>
      <c r="BG164" s="95"/>
      <c r="BH164" s="95"/>
      <c r="BI164" s="95"/>
      <c r="BJ164" s="95"/>
      <c r="BK164" s="95"/>
      <c r="BL164" s="95"/>
      <c r="BM164" s="95"/>
      <c r="BN164" s="95"/>
      <c r="BO164" s="95"/>
      <c r="BP164" s="95"/>
      <c r="BQ164" s="95"/>
      <c r="BR164" s="95"/>
    </row>
    <row r="165" spans="4:70" x14ac:dyDescent="0.3"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/>
      <c r="AX165" s="95"/>
      <c r="AY165" s="95"/>
      <c r="AZ165" s="95"/>
      <c r="BA165" s="95"/>
      <c r="BB165" s="95"/>
      <c r="BC165" s="95"/>
      <c r="BD165" s="95"/>
      <c r="BE165" s="95"/>
      <c r="BF165" s="95"/>
      <c r="BG165" s="95"/>
      <c r="BH165" s="95"/>
      <c r="BI165" s="95"/>
      <c r="BJ165" s="95"/>
      <c r="BK165" s="95"/>
      <c r="BL165" s="95"/>
      <c r="BM165" s="95"/>
      <c r="BN165" s="95"/>
      <c r="BO165" s="95"/>
      <c r="BP165" s="95"/>
      <c r="BQ165" s="95"/>
      <c r="BR165" s="95"/>
    </row>
    <row r="166" spans="4:70" x14ac:dyDescent="0.3"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  <c r="AY166" s="95"/>
      <c r="AZ166" s="95"/>
      <c r="BA166" s="95"/>
      <c r="BB166" s="95"/>
      <c r="BC166" s="95"/>
      <c r="BD166" s="95"/>
      <c r="BE166" s="95"/>
      <c r="BF166" s="95"/>
      <c r="BG166" s="95"/>
      <c r="BH166" s="95"/>
      <c r="BI166" s="95"/>
      <c r="BJ166" s="95"/>
      <c r="BK166" s="95"/>
      <c r="BL166" s="95"/>
      <c r="BM166" s="95"/>
      <c r="BN166" s="95"/>
      <c r="BO166" s="95"/>
      <c r="BP166" s="95"/>
      <c r="BQ166" s="95"/>
      <c r="BR166" s="95"/>
    </row>
    <row r="167" spans="4:70" x14ac:dyDescent="0.3"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  <c r="AY167" s="95"/>
      <c r="AZ167" s="95"/>
      <c r="BA167" s="95"/>
      <c r="BB167" s="95"/>
      <c r="BC167" s="95"/>
      <c r="BD167" s="95"/>
      <c r="BE167" s="95"/>
      <c r="BF167" s="95"/>
      <c r="BG167" s="95"/>
      <c r="BH167" s="95"/>
      <c r="BI167" s="95"/>
      <c r="BJ167" s="95"/>
      <c r="BK167" s="95"/>
      <c r="BL167" s="95"/>
      <c r="BM167" s="95"/>
      <c r="BN167" s="95"/>
      <c r="BO167" s="95"/>
      <c r="BP167" s="95"/>
      <c r="BQ167" s="95"/>
      <c r="BR167" s="95"/>
    </row>
    <row r="168" spans="4:70" x14ac:dyDescent="0.3"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  <c r="AY168" s="95"/>
      <c r="AZ168" s="95"/>
      <c r="BA168" s="95"/>
      <c r="BB168" s="95"/>
      <c r="BC168" s="95"/>
      <c r="BD168" s="95"/>
      <c r="BE168" s="95"/>
      <c r="BF168" s="95"/>
      <c r="BG168" s="95"/>
      <c r="BH168" s="95"/>
      <c r="BI168" s="95"/>
      <c r="BJ168" s="95"/>
      <c r="BK168" s="95"/>
      <c r="BL168" s="95"/>
      <c r="BM168" s="95"/>
      <c r="BN168" s="95"/>
      <c r="BO168" s="95"/>
      <c r="BP168" s="95"/>
      <c r="BQ168" s="95"/>
      <c r="BR168" s="95"/>
    </row>
    <row r="169" spans="4:70" x14ac:dyDescent="0.3"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  <c r="AY169" s="95"/>
      <c r="AZ169" s="95"/>
      <c r="BA169" s="95"/>
      <c r="BB169" s="95"/>
      <c r="BC169" s="95"/>
      <c r="BD169" s="95"/>
      <c r="BE169" s="95"/>
      <c r="BF169" s="95"/>
      <c r="BG169" s="95"/>
      <c r="BH169" s="95"/>
      <c r="BI169" s="95"/>
      <c r="BJ169" s="95"/>
      <c r="BK169" s="95"/>
      <c r="BL169" s="95"/>
      <c r="BM169" s="95"/>
      <c r="BN169" s="95"/>
      <c r="BO169" s="95"/>
      <c r="BP169" s="95"/>
      <c r="BQ169" s="95"/>
      <c r="BR169" s="95"/>
    </row>
    <row r="170" spans="4:70" x14ac:dyDescent="0.3"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95"/>
      <c r="AW170" s="95"/>
      <c r="AX170" s="95"/>
      <c r="AY170" s="95"/>
      <c r="AZ170" s="95"/>
      <c r="BA170" s="95"/>
      <c r="BB170" s="95"/>
      <c r="BC170" s="95"/>
      <c r="BD170" s="95"/>
      <c r="BE170" s="95"/>
      <c r="BF170" s="95"/>
      <c r="BG170" s="95"/>
      <c r="BH170" s="95"/>
      <c r="BI170" s="95"/>
      <c r="BJ170" s="95"/>
      <c r="BK170" s="95"/>
      <c r="BL170" s="95"/>
      <c r="BM170" s="95"/>
      <c r="BN170" s="95"/>
      <c r="BO170" s="95"/>
      <c r="BP170" s="95"/>
      <c r="BQ170" s="95"/>
      <c r="BR170" s="95"/>
    </row>
    <row r="171" spans="4:70" x14ac:dyDescent="0.3"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  <c r="BI171" s="95"/>
      <c r="BJ171" s="95"/>
      <c r="BK171" s="95"/>
      <c r="BL171" s="95"/>
      <c r="BM171" s="95"/>
      <c r="BN171" s="95"/>
      <c r="BO171" s="95"/>
      <c r="BP171" s="95"/>
      <c r="BQ171" s="95"/>
      <c r="BR171" s="95"/>
    </row>
    <row r="172" spans="4:70" x14ac:dyDescent="0.3"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  <c r="AW172" s="95"/>
      <c r="AX172" s="95"/>
      <c r="AY172" s="95"/>
      <c r="AZ172" s="95"/>
      <c r="BA172" s="95"/>
      <c r="BB172" s="95"/>
      <c r="BC172" s="95"/>
      <c r="BD172" s="95"/>
      <c r="BE172" s="95"/>
      <c r="BF172" s="95"/>
      <c r="BG172" s="95"/>
      <c r="BH172" s="95"/>
      <c r="BI172" s="95"/>
      <c r="BJ172" s="95"/>
      <c r="BK172" s="95"/>
      <c r="BL172" s="95"/>
      <c r="BM172" s="95"/>
      <c r="BN172" s="95"/>
      <c r="BO172" s="95"/>
      <c r="BP172" s="95"/>
      <c r="BQ172" s="95"/>
      <c r="BR172" s="95"/>
    </row>
    <row r="173" spans="4:70" x14ac:dyDescent="0.3"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  <c r="AY173" s="95"/>
      <c r="AZ173" s="95"/>
      <c r="BA173" s="95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  <c r="BM173" s="95"/>
      <c r="BN173" s="95"/>
      <c r="BO173" s="95"/>
      <c r="BP173" s="95"/>
      <c r="BQ173" s="95"/>
      <c r="BR173" s="95"/>
    </row>
  </sheetData>
  <conditionalFormatting sqref="Q96:V97">
    <cfRule type="duplicateValues" dxfId="0" priority="2"/>
  </conditionalFormatting>
  <pageMargins left="0.25" right="0.25" top="0.75" bottom="0.75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2024 - Mensile Fer-Fest</vt:lpstr>
      <vt:lpstr>Confronto ore 2024_2025</vt:lpstr>
      <vt:lpstr>Grafico</vt:lpstr>
      <vt:lpstr>Dashboard_Finale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Massimiliano IZZO (Lgt)</dc:creator>
  <dc:description/>
  <cp:lastModifiedBy>massimiliano izzo</cp:lastModifiedBy>
  <cp:revision>2</cp:revision>
  <cp:lastPrinted>2026-02-13T13:59:01Z</cp:lastPrinted>
  <dcterms:created xsi:type="dcterms:W3CDTF">2024-02-12T12:47:44Z</dcterms:created>
  <dcterms:modified xsi:type="dcterms:W3CDTF">2026-02-21T13:56:08Z</dcterms:modified>
  <dc:language>it-IT</dc:language>
</cp:coreProperties>
</file>